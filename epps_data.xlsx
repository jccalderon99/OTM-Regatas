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ja 1" state="visible" r:id="rId4"/>
    <sheet sheetId="2" name="Registro_EPPs" state="visible" r:id="rId5"/>
    <sheet sheetId="3" name="Consolidado_Compras" state="visible" r:id="rId6"/>
    <sheet sheetId="4" name="Matriz_Estado_EPPs" state="visible" r:id="rId7"/>
  </sheets>
  <calcPr calcId="171027"/>
</workbook>
</file>

<file path=xl/sharedStrings.xml><?xml version="1.0" encoding="utf-8"?>
<sst xmlns="http://schemas.openxmlformats.org/spreadsheetml/2006/main" count="1446" uniqueCount="175">
  <si>
    <t>Marca de Tiempo</t>
  </si>
  <si>
    <t>Nombre Completo</t>
  </si>
  <si>
    <t>Especialidad</t>
  </si>
  <si>
    <t>Resumen de Inspección</t>
  </si>
  <si>
    <t>EPPs que Requieren Cambio</t>
  </si>
  <si>
    <t>Otros EPPs / Observaciones</t>
  </si>
  <si>
    <t>Eliseo Nehemias cuadros Moya</t>
  </si>
  <si>
    <t>Electricista</t>
  </si>
  <si>
    <t>[Casco de Seguridad Dieléctrico con Barbiquejo: Necesito uno nuevo] [Lentes de Seguridad: Necesito uno nuevo] [Sobrelentes de Seguridad: Necesito uno nuevo] [Guantes Dieléctricos: Necesito uno nuevo] [Zapatos de Seguridad Dieléctricos: Necesito uno nuevo] [Tapones Auditivos: Necesito uno nuevo]</t>
  </si>
  <si>
    <t>Casco de Seguridad Dieléctrico con Barbiquejo, Lentes de Seguridad, Sobrelentes de Seguridad, Guantes Dieléctricos, Zapatos de Seguridad Dieléctricos, Tapones Auditivos</t>
  </si>
  <si>
    <t>Nunca me dieron epp ,cómo debe ser</t>
  </si>
  <si>
    <t>Franco ccatamayo quispe</t>
  </si>
  <si>
    <t>Calderista</t>
  </si>
  <si>
    <t>[Casco de Seguridad con Barbiquejo: Lo tengo operativo] [Lentes de Seguridad (Antiempañante): Necesito uno nuevo] [Sobrelentes de Seguridad: Lo tengo operativo] [Guantes de Cuero: Necesito uno nuevo] [Zapatos de Seguridad (Punta de Acero): No lo utilizo] [Tapones Auditivos: Lo tengo operativo] [Protector Auditivo Tipo Copa: Lo tengo operativo] [Respirador + Filtros para Gases/Vapores: Necesito uno nuevo]</t>
  </si>
  <si>
    <t>Lentes de Seguridad (Antiempañante), Guantes de Cuero, Respirador + Filtros para Gases/Vapores</t>
  </si>
  <si>
    <t>Botas dielectricas</t>
  </si>
  <si>
    <t>Saúl Castro Ccorahua</t>
  </si>
  <si>
    <t>Piscina</t>
  </si>
  <si>
    <t>[Casco de Seguridad con Barbiquejo: Necesito uno nuevo] [Lentes de Seguridad: Necesito uno nuevo] [Sobrelentes de Seguridad: No lo utilizo] [Guantes de Nitrilo Caña Larga (Químicos): Necesito uno nuevo] [Botas de Jebe Caña Alta Antideslizantes: Necesito uno nuevo] [Zapatos de Seguridad Convencionales: Necesito uno nuevo] [Respirador + Filtros para Cloro / Gases Ácidos: Necesito uno nuevo] [Traje de Neopreno (Wetsuit): Necesito uno nuevo] [Mandil de PVC Impermeable: Lo tengo operativo]</t>
  </si>
  <si>
    <t>Casco de Seguridad con Barbiquejo, Lentes de Seguridad, Guantes de Nitrilo Caña Larga (Químicos), Botas de Jebe Caña Alta Antideslizantes, Zapatos de Seguridad Convencionales, Respirador + Filtros para Cloro / Gases Ácidos, Traje de Neopreno (Wetsuit)</t>
  </si>
  <si>
    <t xml:space="preserve">-Protector auditiva. 
-crocs talla 41 -&gt; despues de realizar trabajos dentro de la piscina para ir a las duchas.</t>
  </si>
  <si>
    <t>John Peter Hurtado Quintanilla</t>
  </si>
  <si>
    <t>[Casco de Seguridad con Barbiquejo: Lo tengo operativo] [Lentes de Seguridad (Antiempañante): Lo tengo operativo] [Sobrelentes de Seguridad: Lo tengo operativo] [Guantes de Cuero: Necesito uno nuevo] [Zapatos de Seguridad (Punta de Acero): Necesito uno nuevo] [Tapones Auditivos: Lo tengo operativo] [Protector Auditivo Tipo Copa: Lo tengo operativo] [Respirador + Filtros para Gases/Vapores: Lo tengo operativo]</t>
  </si>
  <si>
    <t>Guantes de Cuero, Zapatos de Seguridad (Punta de Acero)</t>
  </si>
  <si>
    <t>Sin observaciones adicionales</t>
  </si>
  <si>
    <t>Mishell Antony Cavero Cenepo</t>
  </si>
  <si>
    <t>[Casco de Seguridad con Barbiquejo: Necesito uno nuevo] [Lentes de Seguridad: Necesito uno nuevo] [Sobrelentes de Seguridad: Necesito uno nuevo] [Guantes de Nitrilo Caña Larga (Químicos): Necesito uno nuevo] [Botas de Jebe Caña Alta Antideslizantes: Necesito uno nuevo] [Zapatos de Seguridad Convencionales: Necesito uno nuevo] [Respirador + Filtros para Cloro / Gases Ácidos: Necesito uno nuevo] [Traje de Neopreno (Wetsuit): Necesito uno nuevo] [Mandil de PVC Impermeable: Necesito uno nuevo]</t>
  </si>
  <si>
    <t>Casco de Seguridad con Barbiquejo, Lentes de Seguridad, Sobrelentes de Seguridad, Guantes de Nitrilo Caña Larga (Químicos), Botas de Jebe Caña Alta Antideslizantes, Zapatos de Seguridad Convencionales, Respirador + Filtros para Cloro / Gases Ácidos, Traje de Neopreno (Wetsuit), Mandil de PVC Impermeable</t>
  </si>
  <si>
    <t>Diego Nolasco Mendoza</t>
  </si>
  <si>
    <t>[Casco de Seguridad con Barbiquejo: Lo tengo operativo] [Lentes de Seguridad (Antiempañante): Necesito uno nuevo] [Sobrelentes de Seguridad: Necesito uno nuevo] [Guantes de Cuero: Necesito uno nuevo] [Zapatos de Seguridad (Punta de Acero): Lo tengo operativo] [Tapones Auditivos: No lo utilizo] [Protector Auditivo Tipo Copa: Lo tengo operativo] [Respirador + Filtros para Gases/Vapores: Necesito uno nuevo]</t>
  </si>
  <si>
    <t>Lentes de Seguridad (Antiempañante), Sobrelentes de Seguridad, Guantes de Cuero, Respirador + Filtros para Gases/Vapores</t>
  </si>
  <si>
    <t>Máximo Fausto Rodríguez Huamani</t>
  </si>
  <si>
    <t>[Casco de Seguridad con Barbiquejo: Lo tengo operativo] [Lentes de Seguridad: Lo tengo operativo] [Sobrelentes de Seguridad: Lo tengo operativo] [Guantes de Nitrilo Caña Larga (Químicos): Necesito uno nuevo] [Botas de Jebe Caña Alta Antideslizantes: Lo tengo operativo] [Zapatos de Seguridad Convencionales: Lo tengo operativo] [Respirador + Filtros para Cloro / Gases Ácidos: Lo tengo operativo] [Traje de Neopreno (Wetsuit): No lo utilizo] [Mandil de PVC Impermeable: No lo utilizo]</t>
  </si>
  <si>
    <t>Guantes de Nitrilo Caña Larga (Químicos)</t>
  </si>
  <si>
    <t>Luis zamata canaza</t>
  </si>
  <si>
    <t>[Casco de Seguridad con Barbiquejo: Necesito uno nuevo] [Lentes de Seguridad: Lo tengo operativo] [Sobrelentes de Seguridad: Necesito uno nuevo] [Guantes de Nitrilo Caña Larga (Químicos): Lo tengo operativo] [Botas de Jebe Caña Alta Antideslizantes: Lo tengo operativo] [Zapatos de Seguridad Convencionales: Lo tengo operativo] [Respirador + Filtros para Cloro / Gases Ácidos: Lo tengo operativo] [Traje de Neopreno (Wetsuit): No lo utilizo] [Mandil de PVC Impermeable: No lo utilizo]</t>
  </si>
  <si>
    <t>Casco de Seguridad con Barbiquejo, Sobrelentes de Seguridad</t>
  </si>
  <si>
    <t>Cirilo willman inca taquire</t>
  </si>
  <si>
    <t>Gasfitería</t>
  </si>
  <si>
    <t>[Casco de Seguridad con Barbiquejo: Lo tiene] [Lentes de Seguridad (Claros): Lo tiene] [Sobrelentes de Seguridad: No usa] [Guantes de Nitrilo: Lo tiene] [Zapatos de Seguridad (Punta de Acero): Lo tiene] [Tapones Auditivos: Lo tiene] [Respirador contra Polvo / Partículas (N95): Lo tiene]</t>
  </si>
  <si>
    <t>Ninguno</t>
  </si>
  <si>
    <t>Eduardo alfonso jorge rivera</t>
  </si>
  <si>
    <t>[Casco de Seguridad Dieléctrico con Barbiquejo: Lo tengo operativo] [Lentes de Seguridad: Lo tengo operativo] [Sobrelentes de Seguridad: Necesito uno nuevo] [Guantes Dieléctricos: Necesito uno nuevo] [Zapatos de Seguridad Dieléctricos: Necesito uno nuevo] [Tapones Auditivos: Necesito uno nuevo]</t>
  </si>
  <si>
    <t>Sobrelentes de Seguridad, Guantes Dieléctricos, Zapatos de Seguridad Dieléctricos, Tapones Auditivos</t>
  </si>
  <si>
    <t>Lo que requiere que la ropa del electrista tambien es muy importante, donde se requiere que sea de material algodón sin partes metálicas, y antiestaticas. Antes daban polo mas camisa pero ahora dan solo polo y casaca.</t>
  </si>
  <si>
    <t>Rogelio herrera Lázaro</t>
  </si>
  <si>
    <t>[Casco de Seguridad con Barbiquejo: Lo tiene] [Lentes de Seguridad (Claros): Requiere cambio] [Sobrelentes de Seguridad: Lo tiene] [Guantes de Nitrilo: Lo tiene] [Zapatos de Seguridad (Punta de Acero): Lo tiene] [Tapones Auditivos: Lo tiene] [Respirador contra Polvo / Partículas (N95): Requiere cambio]</t>
  </si>
  <si>
    <t>Lentes de Seguridad (Claros), Respirador contra Polvo / Partículas (N95)</t>
  </si>
  <si>
    <t>Eustaquio ñahuis cuya</t>
  </si>
  <si>
    <t>Jardinería</t>
  </si>
  <si>
    <t>[Casco de Seguridad con Barbiquejo: Lo tengo operativo] [Lentes de Seguridad: Necesito uno nuevo] [Sobrelentes de Seguridad: No lo utilizo] [Guantes de Cuero / Badana: No lo utilizo] [Zapatos / Botas de Seguridad Antideslizantes: Lo tengo operativo] [Tapones de Oído / Orejeras: Necesito uno nuevo] [Respirador contra Polvo / Pesticidas: Necesito uno nuevo] [Protector Facial: Necesito uno nuevo]</t>
  </si>
  <si>
    <t>Lentes de Seguridad, Tapones de Oído / Orejeras, Respirador contra Polvo / Pesticidas, Protector Facial</t>
  </si>
  <si>
    <t>Cirilo Huanca Ramos</t>
  </si>
  <si>
    <t>[Casco de Seguridad con Barbiquejo: Lo tengo operativo] [Lentes de Seguridad: Lo tengo operativo] [Sobrelentes de Seguridad: Necesito uno nuevo] [Guantes de Cuero / Badana: Lo tengo operativo] [Zapatos / Botas de Seguridad Antideslizantes: Lo tengo operativo] [Tapones de Oído / Orejeras: Necesito uno nuevo] [Respirador contra Polvo / Pesticidas: Necesito uno nuevo] [Protector Facial: Necesito uno nuevo]</t>
  </si>
  <si>
    <t>Sobrelentes de Seguridad, Tapones de Oído / Orejeras, Respirador contra Polvo / Pesticidas, Protector Facial</t>
  </si>
  <si>
    <t>Elizabeth Lily Panez Abollaneda</t>
  </si>
  <si>
    <t>[Casco de Seguridad con Barbiquejo: Lo tiene] [Lentes de Seguridad (Claros): Requiere cambio] [Sobrelentes de Seguridad: No usa] [Guantes de Nitrilo: Requiere cambio] [Zapatos de Seguridad (Punta de Acero): Lo tiene] [Tapones Auditivos: Requiere cambio] [Respirador contra Polvo / Partículas (N95): Lo tiene]</t>
  </si>
  <si>
    <t>Lentes de Seguridad (Claros), Guantes de Nitrilo, Tapones Auditivos</t>
  </si>
  <si>
    <t>Julio Martin Hernández Fernández</t>
  </si>
  <si>
    <t>[Casco de Seguridad con Barbiquejo: Lo tiene] [Lentes de Seguridad (Oscuros para Sol): Requiere cambio] [Sobrelentes de Seguridad: No usa] [Guantes de Cuero / Badana: Requiere cambio] [Zapatos / Botas de Seguridad Antideslizantes: Lo tiene] [Tapones de Oído / Orejeras: Requiere cambio] [Respirador contra Polvo / Pesticidas: Lo tiene]</t>
  </si>
  <si>
    <t>Lentes de Seguridad (Oscuros para Sol), Guantes de Cuero / Badana, Tapones de Oído / Orejeras</t>
  </si>
  <si>
    <t xml:space="preserve">Los guantes q me dan a mi no me sirve son muy grandes para mí mano 
Y no me deja trabajar</t>
  </si>
  <si>
    <t>[Casco de Seguridad con Barbiquejo: Lo tiene] [Lentes de Seguridad (Antiempañante): Lo tiene] [Sobrelentes de Seguridad: No usa] [Guantes de Cuero Cromo Térmico / Caña Larga: Requiere cambio] [Zapatos de Seguridad (Punta de Acero): Lo tiene] [Tapones Auditivos: Lo tiene] [Respirador + Filtros para Gases/Vapores: Lo tiene]</t>
  </si>
  <si>
    <t>Guantes de Cuero Cromo Térmico / Caña Larga</t>
  </si>
  <si>
    <t>Rene josep roca esquivel</t>
  </si>
  <si>
    <t>[Casco de Seguridad con Barbiquejo: Requiere cambio] [Lentes de Seguridad: Requiere cambio] [Sobrelentes de Seguridad: Requiere cambio] [Guantes de Nitrilo Caña Larga (Químicos): Requiere cambio] [Botas de Jebe Caña Alta Antideslizantes: Requiere cambio] [Zapatos de Seguridad Convencionales: Requiere cambio] [Respirador + Filtros para Cloro / Gases Ácidos: Requiere cambio] [Traje de Neopreno (Wetsuit): Requiere cambio] [Mandil de PVC Impermeable: Requiere cambio]</t>
  </si>
  <si>
    <t>Cartuchos filtro respirador 3m</t>
  </si>
  <si>
    <t>Jeyson Jonathan Palomino Rodríguez</t>
  </si>
  <si>
    <t>Albañilería</t>
  </si>
  <si>
    <t>[Casco de Seguridad con Barbiquejo: Lo tiene] [Lentes de Seguridad (Claros/Oscuros): Requiere cambio] [Sobrelentes de Seguridad: No usa] [Guantes de Badana / Cuero: Requiere cambio] [Respirador contra Polvo / Partículas (N95): No usa] [Zapatos de Seguridad (Punta de Acero): Lo tiene] [Tapones Auditivos: Lo tiene] [Cortavientos para Casco: No usa]</t>
  </si>
  <si>
    <t>Lentes de Seguridad (Claros/Oscuros), Guantes de Badana / Cuero</t>
  </si>
  <si>
    <t>Guantes antivibración, guante de jebe, careta, respirador  especial contra particulas - polvo + filtro color azul, filtro de respirador para soldadura, cod. 2097, cinturón de herramientas, rodilleras, Guantes caña larga de cuero, botas de cuero, mandil de cuero, pantalon de cuero XL, casaca de cuero XL,</t>
  </si>
  <si>
    <t>Juan Soto</t>
  </si>
  <si>
    <t>[Casco de Seguridad con Barbiquejo: Lo tiene] [Lentes de Seguridad (Claros/Oscuros): Requiere cambio] [Sobrelentes de Seguridad: No usa] [Guantes de Badana / Cuero: Lo tiene] [Respirador contra Polvo / Partículas (N95): No usa] [Zapatos de Seguridad (Punta de Acero): Requiere cambio] [Tapones Auditivos: Lo tiene] [Cortavientos para Casco: No usa]</t>
  </si>
  <si>
    <t>Lentes de Seguridad (Claros/Oscuros), Zapatos de Seguridad (Punta de Acero)</t>
  </si>
  <si>
    <t>Martín Daniel Salazar Salcedo</t>
  </si>
  <si>
    <t>[Casco de Seguridad Dieléctrico con Barbiquejo: Requiere cambio] [Lentes de Seguridad (Protección UV): Requiere cambio] [Sobrelentes de Seguridad: Requiere cambio] [Guantes Dieléctricos + Protector de Cuero: Requiere cambio] [Zapatos de Seguridad Dieléctricos: Lo tiene] [Tapones Auditivos: Requiere cambio] [Chaleco Reflectivo / Ropa Ignífuga: Lo tiene]</t>
  </si>
  <si>
    <t>Casco de Seguridad Dieléctrico con Barbiquejo, Lentes de Seguridad (Protección UV), Sobrelentes de Seguridad, Guantes Dieléctricos + Protector de Cuero, Tapones Auditivos</t>
  </si>
  <si>
    <t>Ya di mi observación.</t>
  </si>
  <si>
    <t>Moisés benjamín andia Sánchez</t>
  </si>
  <si>
    <t>Pintura</t>
  </si>
  <si>
    <t>[Casco de Seguridad con Barbiquejo: Lo tiene] [Lentes de Seguridad: Lo tiene] [Sobrelentes de Seguridad: No usa] [Guantes de Nitrilo / Jebe: No usa] [Respirador Media Cara con Filtros (Vapores Orgánicos): Requiere cambio] [Zapatos de Seguridad / Botas: Lo tiene] [Tapones Auditivos / Orejeras: Requiere cambio] [Mameluco Descartable (Tyvek): Requiere cambio]</t>
  </si>
  <si>
    <t>Respirador Media Cara con Filtros (Vapores Orgánicos), Tapones Auditivos / Orejeras, Mameluco Descartable (Tyvek)</t>
  </si>
  <si>
    <t>Se recomienda verificar también los implementos de seguridad de trabajos en altura</t>
  </si>
  <si>
    <t>Julio briceño llerena</t>
  </si>
  <si>
    <t>[Casco de Seguridad con Barbiquejo: Requiere cambio] [Lentes de Seguridad (Antiempañante): Lo tiene] [Sobrelentes de Seguridad: Requiere cambio] [Guantes de Cuero Cromo Térmico / Caña Larga: Lo tiene] [Zapatos de Seguridad (Punta de Acero): Lo tiene] [Tapones Auditivos: Lo tiene] [Respirador + Filtros para Gases/Vapores: Requiere cambio]</t>
  </si>
  <si>
    <t>Casco de Seguridad con Barbiquejo, Sobrelentes de Seguridad, Respirador + Filtros para Gases/Vapores</t>
  </si>
  <si>
    <t>Luis Antonio Angulo Malásquez</t>
  </si>
  <si>
    <t>[Casco de Seguridad con Barbiquejo: Lo tiene] [Lentes de Seguridad: Lo tiene] [Sobrelentes de Seguridad: No usa] [Guantes de Nitrilo / Jebe: Lo tiene] [Respirador Media Cara con Filtros (Vapores Orgánicos): Lo tiene] [Zapatos de Seguridad / Botas: Lo tiene] [Tapones Auditivos / Orejeras: Lo tiene] [Mameluco Descartable (Tyvek): Lo tiene]</t>
  </si>
  <si>
    <t>CONSOLIDADO GENERAL DE COMPRA DE EPPs</t>
  </si>
  <si>
    <t>Departamento de Mantenimiento | Generado el: 5/6/2026 14:22</t>
  </si>
  <si>
    <t>1. RESUMEN DE COMPRA GENERAL (TOTALES POR EPP)</t>
  </si>
  <si>
    <t>EPP (Artículo / Item)</t>
  </si>
  <si>
    <t>Cantidad Requerida</t>
  </si>
  <si>
    <t>Especialidades Solicitantes</t>
  </si>
  <si>
    <t>Colaboradores que lo requieren</t>
  </si>
  <si>
    <t>Sobrelentes de Seguridad</t>
  </si>
  <si>
    <t>Calderista, Electricista, Jardinería, Piscina</t>
  </si>
  <si>
    <t>Diego Nolasco Mendoza, Julio briceño llerena, Eduardo alfonso jorge rivera, Eliseo Nehemias cuadros Moya, Martín Daniel Salazar Salcedo, Cirilo Huanca Ramos, Luis zamata canaza, Mishell Antony Cavero Cenepo, Rene josep roca esquivel</t>
  </si>
  <si>
    <t>Lentes de Seguridad</t>
  </si>
  <si>
    <t>Electricista, Jardinería, Piscina</t>
  </si>
  <si>
    <t>Eliseo Nehemias cuadros Moya, Cirilo Huanca Ramos, Eustaquio ñahuis cuya, Mishell Antony Cavero Cenepo, Rene josep roca esquivel, Saúl Castro Ccorahua</t>
  </si>
  <si>
    <t>Casco de Seguridad con Barbiquejo</t>
  </si>
  <si>
    <t>Calderista, Piscina</t>
  </si>
  <si>
    <t>Julio briceño llerena, Luis zamata canaza, Mishell Antony Cavero Cenepo, Rene josep roca esquivel, Saúl Castro Ccorahua</t>
  </si>
  <si>
    <t>Tapones Auditivos</t>
  </si>
  <si>
    <t>Electricista, Gasfitería</t>
  </si>
  <si>
    <t>Eduardo alfonso jorge rivera, Eliseo Nehemias cuadros Moya, Martín Daniel Salazar Salcedo, Elizabeth Lily Panez Abollaneda</t>
  </si>
  <si>
    <t>Tapones de Oído / Orejeras</t>
  </si>
  <si>
    <t>Cirilo Huanca Ramos, Eustaquio ñahuis cuya, Julio Martin Hernández Fernández</t>
  </si>
  <si>
    <t>Máximo Fausto Rodríguez Huamani, Mishell Antony Cavero Cenepo, Rene josep roca esquivel, Saúl Castro Ccorahua</t>
  </si>
  <si>
    <t>Guantes de Cuero</t>
  </si>
  <si>
    <t>Diego Nolasco Mendoza, Franco ccatamayo quispe, John Peter Hurtado Quintanilla</t>
  </si>
  <si>
    <t>Respirador + Filtros para Gases/Vapores</t>
  </si>
  <si>
    <t>Diego Nolasco Mendoza, Franco ccatamayo quispe, Julio briceño llerena</t>
  </si>
  <si>
    <t>Respirador contra Polvo / Pesticidas</t>
  </si>
  <si>
    <t>Cirilo Huanca Ramos, Eustaquio ñahuis cuya</t>
  </si>
  <si>
    <t>Protector Facial</t>
  </si>
  <si>
    <t>Botas de Jebe Caña Alta Antideslizantes</t>
  </si>
  <si>
    <t>Mishell Antony Cavero Cenepo, Rene josep roca esquivel, Saúl Castro Ccorahua</t>
  </si>
  <si>
    <t>Zapatos de Seguridad Convencionales</t>
  </si>
  <si>
    <t>Respirador + Filtros para Cloro / Gases Ácidos</t>
  </si>
  <si>
    <t>Traje de Neopreno (Wetsuit)</t>
  </si>
  <si>
    <t>Lentes de Seguridad (Claros/Oscuros)</t>
  </si>
  <si>
    <t>Jeyson Jonathan Palomino Rodríguez, Juan Soto</t>
  </si>
  <si>
    <t>Zapatos de Seguridad (Punta de Acero)</t>
  </si>
  <si>
    <t>Albañilería, Calderista</t>
  </si>
  <si>
    <t>Juan Soto, John Peter Hurtado Quintanilla</t>
  </si>
  <si>
    <t>Lentes de Seguridad (Antiempañante)</t>
  </si>
  <si>
    <t>Diego Nolasco Mendoza, Franco ccatamayo quispe</t>
  </si>
  <si>
    <t>Guantes Dieléctricos</t>
  </si>
  <si>
    <t>Eduardo alfonso jorge rivera, Eliseo Nehemias cuadros Moya</t>
  </si>
  <si>
    <t>Zapatos de Seguridad Dieléctricos</t>
  </si>
  <si>
    <t>Casco de Seguridad Dieléctrico con Barbiquejo</t>
  </si>
  <si>
    <t>Eliseo Nehemias cuadros Moya, Martín Daniel Salazar Salcedo</t>
  </si>
  <si>
    <t>Lentes de Seguridad (Claros)</t>
  </si>
  <si>
    <t>Elizabeth Lily Panez Abollaneda, Rogelio herrera Lázaro</t>
  </si>
  <si>
    <t>Mandil de PVC Impermeable</t>
  </si>
  <si>
    <t>Mishell Antony Cavero Cenepo, Rene josep roca esquivel</t>
  </si>
  <si>
    <t>Guantes de Badana / Cuero</t>
  </si>
  <si>
    <t>Lentes de Seguridad (Protección UV)</t>
  </si>
  <si>
    <t>Guantes Dieléctricos + Protector de Cuero</t>
  </si>
  <si>
    <t>Guantes de Nitrilo</t>
  </si>
  <si>
    <t>Respirador contra Polvo / Partículas (N95)</t>
  </si>
  <si>
    <t>Lentes de Seguridad (Oscuros para Sol)</t>
  </si>
  <si>
    <t>Guantes de Cuero / Badana</t>
  </si>
  <si>
    <t>Respirador Media Cara con Filtros (Vapores Orgánicos)</t>
  </si>
  <si>
    <t>Tapones Auditivos / Orejeras</t>
  </si>
  <si>
    <t>Mameluco Descartable (Tyvek)</t>
  </si>
  <si>
    <t>TOTAL GENERAL A ADQUIRIR</t>
  </si>
  <si>
    <t>2. DETALLE DE REQUERIMIENTOS AGRUPADOS POR ESPECIALIDAD</t>
  </si>
  <si>
    <t>EPP Requerido (Artículo)</t>
  </si>
  <si>
    <t>Colaboradores Solicitantes</t>
  </si>
  <si>
    <t>Diego Nolasco Mendoza, Julio briceño llerena</t>
  </si>
  <si>
    <t>Eduardo alfonso jorge rivera, Eliseo Nehemias cuadros Moya, Martín Daniel Salazar Salcedo</t>
  </si>
  <si>
    <t>Luis zamata canaza, Mishell Antony Cavero Cenepo, Rene josep roca esquivel, Saúl Castro Ccorahua</t>
  </si>
  <si>
    <t>Luis zamata canaza, Mishell Antony Cavero Cenepo, Rene josep roca esquivel</t>
  </si>
  <si>
    <t>TOTAL GENERAL DETALLADO</t>
  </si>
  <si>
    <t>MATRIZ DE CONTROL Y ESTADO DE EPPs POR COLABORADOR</t>
  </si>
  <si>
    <t>Departamento de Mantenimiento | Estado Actualizado | Generado el: 5/6/2026 14:22</t>
  </si>
  <si>
    <t>1. MATRIZ DE EPP (VERDE: OPERATIVO | ROJO: REQUIERE CAMBIO | GRIS: NO APLICA / NO USA)</t>
  </si>
  <si>
    <t>Chaleco Reflectivo / Ropa Ignífuga</t>
  </si>
  <si>
    <t>Cortavientos para Casco</t>
  </si>
  <si>
    <t>Guantes de Nitrilo / Jebe</t>
  </si>
  <si>
    <t>Protector Auditivo Tipo Copa</t>
  </si>
  <si>
    <t>Zapatos / Botas de Seguridad Antideslizantes</t>
  </si>
  <si>
    <t>Zapatos de Seguridad / Botas</t>
  </si>
  <si>
    <t>-</t>
  </si>
  <si>
    <t>✓</t>
  </si>
  <si>
    <t>Requiere</t>
  </si>
  <si>
    <t>TOTAL OPERATIVOS (✓)</t>
  </si>
  <si>
    <t>TOTAL COMPRAS (Requiere)</t>
  </si>
  <si>
    <t>2. DETALLE RESUMIDO DE EPPs SOLICITADOS PARA COMPRA</t>
  </si>
  <si>
    <t>Especialidades</t>
  </si>
  <si>
    <t>TOTAL GENERAL DE ADQUISICIÓN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</si>
</sst>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15" x14ac:knownFonts="1">
    <font>
      <color theme="1"/>
      <family val="2"/>
      <scheme val="minor"/>
      <sz val="11"/>
      <name val="Calibri"/>
    </font>
    <font>
      <b/>
      <color rgb="FFFFFFFF"/>
      <scheme val="minor"/>
      <sz val="11"/>
      <name val="Arial"/>
    </font>
    <font>
      <color theme="1"/>
      <scheme val="minor"/>
      <name val="Arial"/>
    </font>
    <font>
      <b/>
      <color rgb="FFFFFF"/>
      <sz val="16"/>
      <name val="Outfit"/>
    </font>
    <font>
      <color rgb="C9A84C"/>
      <sz val="10"/>
      <name val="Inter"/>
    </font>
    <font>
      <b/>
      <color rgb="1A2B4A"/>
      <sz val="12"/>
      <name val="Outfit"/>
    </font>
    <font>
      <b/>
      <color rgb="FFFFFF"/>
      <sz val="10"/>
      <name val="Outfit"/>
    </font>
    <font>
      <sz val="10"/>
      <name val="Inter"/>
    </font>
    <font>
      <b/>
      <sz val="10"/>
      <name val="Inter"/>
    </font>
    <font>
      <b/>
      <color rgb="1A2B4A"/>
      <sz val="10"/>
      <name val="Outfit"/>
    </font>
    <font>
      <color rgb="9CA3AF"/>
      <sz val="10"/>
      <name val="Inter"/>
    </font>
    <font>
      <b/>
      <color rgb="059669"/>
      <sz val="11"/>
      <name val="Inter"/>
    </font>
    <font>
      <b/>
      <color rgb="991B1B"/>
      <sz val="9"/>
      <name val="Inter"/>
    </font>
    <font>
      <b/>
      <color rgb="047857"/>
      <sz val="10"/>
      <name val="Outfit"/>
    </font>
    <font>
      <b/>
      <color rgb="B91C1C"/>
      <sz val="10"/>
      <name val="Outfit"/>
    </font>
  </fonts>
  <fills count="11">
    <fill>
      <patternFill patternType="none"/>
    </fill>
    <fill>
      <patternFill patternType="gray125"/>
    </fill>
    <fill>
      <patternFill patternType="solid">
        <fgColor rgb="FF1A2B4A"/>
        <bgColor rgb="FF1A2B4A"/>
      </patternFill>
    </fill>
    <fill>
      <patternFill patternType="solid">
        <fgColor rgb="1A2B4A"/>
      </patternFill>
    </fill>
    <fill>
      <patternFill patternType="solid">
        <fgColor rgb="F4F6F9"/>
      </patternFill>
    </fill>
    <fill>
      <patternFill patternType="solid">
        <fgColor rgb="FFF9E6"/>
      </patternFill>
    </fill>
    <fill>
      <patternFill patternType="solid">
        <fgColor rgb="F3F4F6"/>
      </patternFill>
    </fill>
    <fill>
      <patternFill patternType="solid">
        <fgColor rgb="FFFFFF"/>
      </patternFill>
    </fill>
    <fill>
      <patternFill patternType="solid">
        <fgColor rgb="FEE2E2"/>
      </patternFill>
    </fill>
    <fill>
      <patternFill patternType="solid">
        <fgColor rgb="E8F5E9"/>
      </patternFill>
    </fill>
    <fill>
      <patternFill patternType="solid">
        <fgColor rgb="FFEBEE"/>
      </patternFill>
    </fill>
  </fills>
  <borders count="3">
    <border>
      <left/>
      <right/>
      <top/>
      <bottom/>
      <diagonal/>
    </border>
    <border>
      <left style="thin">
        <color rgb="D1D5DB"/>
      </left>
      <right style="thin">
        <color rgb="D1D5DB"/>
      </right>
      <top style="thin">
        <color rgb="D1D5DB"/>
      </top>
      <bottom style="thin">
        <color rgb="D1D5DB"/>
      </bottom>
      <diagonal/>
    </border>
    <border>
      <left style="thin">
        <color rgb="D1D5DB"/>
      </left>
      <right style="thin">
        <color rgb="D1D5DB"/>
      </right>
      <top style="thin">
        <color rgb="D1D5DB"/>
      </top>
      <bottom style="double">
        <color rgb="C9A84C"/>
      </bottom>
      <diagonal/>
    </border>
  </borders>
  <cellStyleXfs count="1">
    <xf numFmtId="0" fontId="0" fillId="0" borderId="0"/>
  </cellStyleXfs>
  <cellXfs count="28">
    <xf numFmtId="0" fontId="0" fillId="0" borderId="0" xfId="0"/>
    <xf numFmtId="0" fontId="1" fillId="2" borderId="0" xfId="0" applyFont="1" applyFill="1" applyAlignment="1">
      <alignment horizontal="center" readingOrder="1"/>
    </xf>
    <xf numFmtId="164" fontId="2" fillId="0" borderId="0" xfId="0" applyNumberFormat="1" applyFont="1" applyAlignment="1">
      <alignment readingOrder="1"/>
    </xf>
    <xf numFmtId="0" fontId="2" fillId="0" borderId="0" xfId="0" applyFont="1" applyAlignment="1">
      <alignment readingOrder="1"/>
    </xf>
    <xf numFmtId="0" fontId="3" fillId="3" borderId="0" xfId="0" applyFont="1" applyFill="1" applyAlignment="1">
      <alignment horizontal="center" vertical="center"/>
    </xf>
    <xf numFmtId="0" fontId="4" fillId="3" borderId="0" xfId="0" applyFont="1" applyFill="1" applyAlignment="1">
      <alignment horizontal="center" vertical="center"/>
    </xf>
    <xf numFmtId="0" fontId="5" fillId="0" borderId="0" xfId="0" applyFont="1"/>
    <xf numFmtId="0" fontId="6" fillId="3"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center" vertical="center"/>
    </xf>
    <xf numFmtId="0" fontId="7" fillId="4"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9" fillId="0" borderId="2" xfId="0" applyFont="1" applyBorder="1" applyAlignment="1">
      <alignment horizontal="right" vertical="center"/>
    </xf>
    <xf numFmtId="0" fontId="9" fillId="5" borderId="2" xfId="0" applyFont="1" applyFill="1" applyBorder="1" applyAlignment="1">
      <alignment horizontal="center" vertical="center"/>
    </xf>
    <xf numFmtId="0" fontId="0" fillId="0" borderId="2" xfId="0" applyBorder="1"/>
    <xf numFmtId="0" fontId="8"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textRotation="90"/>
    </xf>
    <xf numFmtId="0" fontId="7" fillId="0" borderId="1" xfId="0" applyFont="1" applyBorder="1" applyAlignment="1">
      <alignment horizontal="left" vertical="center"/>
    </xf>
    <xf numFmtId="0" fontId="10" fillId="6" borderId="1" xfId="0" applyFont="1" applyFill="1" applyBorder="1" applyAlignment="1">
      <alignment horizontal="center" vertical="center"/>
    </xf>
    <xf numFmtId="0" fontId="11" fillId="7" borderId="1" xfId="0" applyFont="1" applyFill="1" applyBorder="1" applyAlignment="1">
      <alignment horizontal="center" vertical="center"/>
    </xf>
    <xf numFmtId="0" fontId="12" fillId="8" borderId="1" xfId="0" applyFont="1" applyFill="1" applyBorder="1" applyAlignment="1">
      <alignment horizontal="center" vertical="center"/>
    </xf>
    <xf numFmtId="0" fontId="7" fillId="4" borderId="1" xfId="0" applyFont="1" applyFill="1" applyBorder="1" applyAlignment="1">
      <alignment horizontal="left" vertical="center"/>
    </xf>
    <xf numFmtId="0" fontId="9" fillId="9" borderId="1" xfId="0" applyFont="1" applyFill="1" applyBorder="1" applyAlignment="1">
      <alignment horizontal="right" vertical="center"/>
    </xf>
    <xf numFmtId="0" fontId="13" fillId="9" borderId="1" xfId="0" applyFont="1" applyFill="1" applyBorder="1" applyAlignment="1">
      <alignment horizontal="center" vertical="center"/>
    </xf>
    <xf numFmtId="0" fontId="9" fillId="10" borderId="2" xfId="0" applyFont="1" applyFill="1" applyBorder="1" applyAlignment="1">
      <alignment horizontal="right" vertical="center"/>
    </xf>
    <xf numFmtId="0" fontId="14" fillId="10"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1"/>
  <sheetViews>
    <sheetView workbookViewId="0" zoomScale="100" zoomScaleNormal="100"/>
  </sheetViews>
  <sheetFormatPr defaultRowHeight="15.75" outlineLevelRow="0" outlineLevelCol="0" x14ac:dyDescent="0" defaultColWidth="12.63" customHeight="1"/>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5"/>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14.88" customWidth="1"/>
    <col min="2" max="2" width="28.25" customWidth="1"/>
    <col min="3" max="3" width="11.13" customWidth="1"/>
    <col min="4" max="4" width="367.25" customWidth="1"/>
    <col min="5" max="5" width="226.38" customWidth="1"/>
    <col min="6" max="6" width="213.75" customWidth="1"/>
  </cols>
  <sheetData>
    <row r="1" spans="1:6" x14ac:dyDescent="0.25">
      <c r="A1" s="1" t="s">
        <v>0</v>
      </c>
      <c r="B1" s="1" t="s">
        <v>1</v>
      </c>
      <c r="C1" s="1" t="s">
        <v>2</v>
      </c>
      <c r="D1" s="1" t="s">
        <v>3</v>
      </c>
      <c r="E1" s="1" t="s">
        <v>4</v>
      </c>
      <c r="F1" s="1" t="s">
        <v>5</v>
      </c>
    </row>
    <row r="2" spans="1:6" x14ac:dyDescent="0.25">
      <c r="A2" s="2">
        <v>46174.68640628472</v>
      </c>
      <c r="B2" s="3" t="s">
        <v>6</v>
      </c>
      <c r="C2" s="3" t="s">
        <v>7</v>
      </c>
      <c r="D2" s="3" t="s">
        <v>8</v>
      </c>
      <c r="E2" s="3" t="s">
        <v>9</v>
      </c>
      <c r="F2" s="3" t="s">
        <v>10</v>
      </c>
    </row>
    <row r="3" spans="1:6" x14ac:dyDescent="0.25">
      <c r="A3" s="2">
        <v>46174.719446145835</v>
      </c>
      <c r="B3" s="3" t="s">
        <v>11</v>
      </c>
      <c r="C3" s="3" t="s">
        <v>12</v>
      </c>
      <c r="D3" s="3" t="s">
        <v>13</v>
      </c>
      <c r="E3" s="3" t="s">
        <v>14</v>
      </c>
      <c r="F3" s="3" t="s">
        <v>15</v>
      </c>
    </row>
    <row r="4" spans="1:6" x14ac:dyDescent="0.25">
      <c r="A4" s="2">
        <v>46174.727200416666</v>
      </c>
      <c r="B4" s="3" t="s">
        <v>16</v>
      </c>
      <c r="C4" s="3" t="s">
        <v>17</v>
      </c>
      <c r="D4" s="3" t="s">
        <v>18</v>
      </c>
      <c r="E4" s="3" t="s">
        <v>19</v>
      </c>
      <c r="F4" s="3" t="s">
        <v>20</v>
      </c>
    </row>
    <row r="5" spans="1:6" x14ac:dyDescent="0.25">
      <c r="A5" s="2">
        <v>46174.73859030093</v>
      </c>
      <c r="B5" s="3" t="s">
        <v>21</v>
      </c>
      <c r="C5" s="3" t="s">
        <v>12</v>
      </c>
      <c r="D5" s="3" t="s">
        <v>22</v>
      </c>
      <c r="E5" s="3" t="s">
        <v>23</v>
      </c>
      <c r="F5" s="3" t="s">
        <v>24</v>
      </c>
    </row>
    <row r="6" spans="1:6" x14ac:dyDescent="0.25">
      <c r="A6" s="2">
        <v>46174.93612267361</v>
      </c>
      <c r="B6" s="3" t="s">
        <v>25</v>
      </c>
      <c r="C6" s="3" t="s">
        <v>17</v>
      </c>
      <c r="D6" s="3" t="s">
        <v>26</v>
      </c>
      <c r="E6" s="3" t="s">
        <v>27</v>
      </c>
      <c r="F6" s="3" t="s">
        <v>24</v>
      </c>
    </row>
    <row r="7" spans="1:6" x14ac:dyDescent="0.25">
      <c r="A7" s="2">
        <v>46175.31540466435</v>
      </c>
      <c r="B7" s="3" t="s">
        <v>28</v>
      </c>
      <c r="C7" s="3" t="s">
        <v>12</v>
      </c>
      <c r="D7" s="3" t="s">
        <v>29</v>
      </c>
      <c r="E7" s="3" t="s">
        <v>30</v>
      </c>
      <c r="F7" s="3" t="s">
        <v>24</v>
      </c>
    </row>
    <row r="8" spans="1:6" x14ac:dyDescent="0.25">
      <c r="A8" s="2">
        <v>46175.316494768515</v>
      </c>
      <c r="B8" s="3" t="s">
        <v>31</v>
      </c>
      <c r="C8" s="3" t="s">
        <v>17</v>
      </c>
      <c r="D8" s="3" t="s">
        <v>32</v>
      </c>
      <c r="E8" s="3" t="s">
        <v>33</v>
      </c>
      <c r="F8" s="3" t="s">
        <v>24</v>
      </c>
    </row>
    <row r="9" spans="1:6" x14ac:dyDescent="0.25">
      <c r="A9" s="2">
        <v>46175.31694322916</v>
      </c>
      <c r="B9" s="3" t="s">
        <v>34</v>
      </c>
      <c r="C9" s="3" t="s">
        <v>17</v>
      </c>
      <c r="D9" s="3" t="s">
        <v>35</v>
      </c>
      <c r="E9" s="3" t="s">
        <v>36</v>
      </c>
      <c r="F9" s="3" t="s">
        <v>24</v>
      </c>
    </row>
    <row r="10" spans="1:6" x14ac:dyDescent="0.25">
      <c r="A10" s="2">
        <v>46175.33431453704</v>
      </c>
      <c r="B10" s="3" t="s">
        <v>37</v>
      </c>
      <c r="C10" s="3" t="s">
        <v>38</v>
      </c>
      <c r="D10" s="3" t="s">
        <v>39</v>
      </c>
      <c r="E10" s="3" t="s">
        <v>40</v>
      </c>
      <c r="F10" s="3" t="s">
        <v>24</v>
      </c>
    </row>
    <row r="11" spans="1:6" x14ac:dyDescent="0.25">
      <c r="A11" s="2">
        <v>46175.34305460648</v>
      </c>
      <c r="B11" s="3" t="s">
        <v>41</v>
      </c>
      <c r="C11" s="3" t="s">
        <v>7</v>
      </c>
      <c r="D11" s="3" t="s">
        <v>42</v>
      </c>
      <c r="E11" s="3" t="s">
        <v>43</v>
      </c>
      <c r="F11" s="3" t="s">
        <v>44</v>
      </c>
    </row>
    <row r="12" spans="1:6" x14ac:dyDescent="0.25">
      <c r="A12" s="2">
        <v>46175.3446496875</v>
      </c>
      <c r="B12" s="3" t="s">
        <v>45</v>
      </c>
      <c r="C12" s="3" t="s">
        <v>38</v>
      </c>
      <c r="D12" s="3" t="s">
        <v>46</v>
      </c>
      <c r="E12" s="3" t="s">
        <v>47</v>
      </c>
      <c r="F12" s="3" t="s">
        <v>24</v>
      </c>
    </row>
    <row r="13" spans="1:6" x14ac:dyDescent="0.25">
      <c r="A13" s="2">
        <v>46175.62697972222</v>
      </c>
      <c r="B13" s="3" t="s">
        <v>48</v>
      </c>
      <c r="C13" s="3" t="s">
        <v>49</v>
      </c>
      <c r="D13" s="3" t="s">
        <v>50</v>
      </c>
      <c r="E13" s="3" t="s">
        <v>51</v>
      </c>
      <c r="F13" s="3" t="s">
        <v>24</v>
      </c>
    </row>
    <row r="14" spans="1:6" x14ac:dyDescent="0.25">
      <c r="A14" s="2">
        <v>46175.6283121875</v>
      </c>
      <c r="B14" s="3" t="s">
        <v>52</v>
      </c>
      <c r="C14" s="3" t="s">
        <v>49</v>
      </c>
      <c r="D14" s="3" t="s">
        <v>50</v>
      </c>
      <c r="E14" s="3" t="s">
        <v>51</v>
      </c>
      <c r="F14" s="3" t="s">
        <v>24</v>
      </c>
    </row>
    <row r="15" spans="1:6" x14ac:dyDescent="0.25">
      <c r="A15" s="2">
        <v>46175.63038341435</v>
      </c>
      <c r="B15" s="3" t="s">
        <v>52</v>
      </c>
      <c r="C15" s="3" t="s">
        <v>49</v>
      </c>
      <c r="D15" s="3" t="s">
        <v>53</v>
      </c>
      <c r="E15" s="3" t="s">
        <v>54</v>
      </c>
      <c r="F15" s="3" t="s">
        <v>24</v>
      </c>
    </row>
    <row r="16" spans="1:6" x14ac:dyDescent="0.25">
      <c r="A16" s="2">
        <v>46176.217498541664</v>
      </c>
      <c r="B16" s="3" t="s">
        <v>55</v>
      </c>
      <c r="C16" s="3" t="s">
        <v>38</v>
      </c>
      <c r="D16" s="3" t="s">
        <v>56</v>
      </c>
      <c r="E16" s="3" t="s">
        <v>57</v>
      </c>
      <c r="F16" s="3" t="s">
        <v>24</v>
      </c>
    </row>
    <row r="17" spans="1:6" x14ac:dyDescent="0.25">
      <c r="A17" s="2">
        <v>46176.44427699074</v>
      </c>
      <c r="B17" s="3" t="s">
        <v>58</v>
      </c>
      <c r="C17" s="3" t="s">
        <v>49</v>
      </c>
      <c r="D17" s="3" t="s">
        <v>59</v>
      </c>
      <c r="E17" s="3" t="s">
        <v>60</v>
      </c>
      <c r="F17" s="3" t="s">
        <v>61</v>
      </c>
    </row>
    <row r="18" spans="1:6" x14ac:dyDescent="0.25">
      <c r="A18" s="2">
        <v>46176.44526789352</v>
      </c>
      <c r="B18" s="3" t="s">
        <v>21</v>
      </c>
      <c r="C18" s="3" t="s">
        <v>12</v>
      </c>
      <c r="D18" s="3" t="s">
        <v>62</v>
      </c>
      <c r="E18" s="3" t="s">
        <v>63</v>
      </c>
      <c r="F18" s="3" t="s">
        <v>24</v>
      </c>
    </row>
    <row r="19" spans="1:6" x14ac:dyDescent="0.25">
      <c r="A19" s="2">
        <v>46176.454499375</v>
      </c>
      <c r="B19" s="3" t="s">
        <v>64</v>
      </c>
      <c r="C19" s="3" t="s">
        <v>17</v>
      </c>
      <c r="D19" s="3" t="s">
        <v>65</v>
      </c>
      <c r="E19" s="3" t="s">
        <v>27</v>
      </c>
      <c r="F19" s="3" t="s">
        <v>66</v>
      </c>
    </row>
    <row r="20" spans="1:6" x14ac:dyDescent="0.25">
      <c r="A20" s="2">
        <v>46176.46054259259</v>
      </c>
      <c r="B20" s="3" t="s">
        <v>67</v>
      </c>
      <c r="C20" s="3" t="s">
        <v>68</v>
      </c>
      <c r="D20" s="3" t="s">
        <v>69</v>
      </c>
      <c r="E20" s="3" t="s">
        <v>70</v>
      </c>
      <c r="F20" s="3" t="s">
        <v>71</v>
      </c>
    </row>
    <row r="21" spans="1:6" x14ac:dyDescent="0.25">
      <c r="A21" s="2">
        <v>46176.48130907408</v>
      </c>
      <c r="B21" s="3" t="s">
        <v>72</v>
      </c>
      <c r="C21" s="3" t="s">
        <v>68</v>
      </c>
      <c r="D21" s="3" t="s">
        <v>73</v>
      </c>
      <c r="E21" s="3" t="s">
        <v>74</v>
      </c>
      <c r="F21" s="3" t="s">
        <v>71</v>
      </c>
    </row>
    <row r="22" spans="1:6" x14ac:dyDescent="0.25">
      <c r="A22" s="2">
        <v>46177.33977145833</v>
      </c>
      <c r="B22" s="3" t="s">
        <v>75</v>
      </c>
      <c r="C22" s="3" t="s">
        <v>7</v>
      </c>
      <c r="D22" s="3" t="s">
        <v>76</v>
      </c>
      <c r="E22" s="3" t="s">
        <v>77</v>
      </c>
      <c r="F22" s="3" t="s">
        <v>78</v>
      </c>
    </row>
    <row r="23" spans="1:6" x14ac:dyDescent="0.25">
      <c r="A23" s="2">
        <v>46177.393754502315</v>
      </c>
      <c r="B23" s="3" t="s">
        <v>79</v>
      </c>
      <c r="C23" s="3" t="s">
        <v>80</v>
      </c>
      <c r="D23" s="3" t="s">
        <v>81</v>
      </c>
      <c r="E23" s="3" t="s">
        <v>82</v>
      </c>
      <c r="F23" s="3" t="s">
        <v>83</v>
      </c>
    </row>
    <row r="24" spans="1:6" x14ac:dyDescent="0.25">
      <c r="A24" s="2">
        <v>46177.537173599536</v>
      </c>
      <c r="B24" s="3" t="s">
        <v>84</v>
      </c>
      <c r="C24" s="3" t="s">
        <v>12</v>
      </c>
      <c r="D24" s="3" t="s">
        <v>85</v>
      </c>
      <c r="E24" s="3" t="s">
        <v>86</v>
      </c>
      <c r="F24" s="3" t="s">
        <v>24</v>
      </c>
    </row>
    <row r="25" spans="1:6" x14ac:dyDescent="0.25">
      <c r="A25" s="2">
        <v>46178.535133321755</v>
      </c>
      <c r="B25" s="3" t="s">
        <v>87</v>
      </c>
      <c r="C25" s="3" t="s">
        <v>80</v>
      </c>
      <c r="D25" s="3" t="s">
        <v>88</v>
      </c>
      <c r="E25" s="3" t="s">
        <v>40</v>
      </c>
      <c r="F25" s="3" t="s">
        <v>24</v>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workbookViewId="0"/>
  </sheetViews>
  <sheetFormatPr defaultRowHeight="15" outlineLevelRow="0" outlineLevelCol="0" x14ac:dyDescent="55"/>
  <cols>
    <col min="1" max="1" width="32" customWidth="1"/>
    <col min="2" max="2" width="36" customWidth="1"/>
    <col min="3" max="3" width="22" customWidth="1"/>
    <col min="4" max="4" width="45" customWidth="1"/>
  </cols>
  <sheetData>
    <row r="1" ht="45" customHeight="1" spans="1:4" x14ac:dyDescent="0.25">
      <c r="A1" s="4" t="s">
        <v>89</v>
      </c>
      <c r="B1" s="4"/>
      <c r="C1" s="4"/>
      <c r="D1" s="4"/>
    </row>
    <row r="2" ht="25" customHeight="1" spans="1:4" x14ac:dyDescent="0.25">
      <c r="A2" s="5" t="s">
        <v>90</v>
      </c>
      <c r="B2" s="5"/>
      <c r="C2" s="5"/>
      <c r="D2" s="5"/>
    </row>
    <row r="5" spans="1:4" x14ac:dyDescent="0.25">
      <c r="A5" s="6" t="s">
        <v>91</v>
      </c>
      <c r="B5" s="6"/>
      <c r="C5" s="6"/>
      <c r="D5" s="6"/>
    </row>
    <row r="6" ht="30" customHeight="1" spans="1:4" x14ac:dyDescent="0.25">
      <c r="A6" s="7" t="s">
        <v>92</v>
      </c>
      <c r="B6" s="7" t="s">
        <v>93</v>
      </c>
      <c r="C6" s="7" t="s">
        <v>94</v>
      </c>
      <c r="D6" s="7" t="s">
        <v>95</v>
      </c>
    </row>
    <row r="7" ht="24" customHeight="1" spans="1:4" x14ac:dyDescent="0.25">
      <c r="A7" s="8" t="s">
        <v>96</v>
      </c>
      <c r="B7" s="9">
        <v>9</v>
      </c>
      <c r="C7" s="8" t="s">
        <v>97</v>
      </c>
      <c r="D7" s="8" t="s">
        <v>98</v>
      </c>
    </row>
    <row r="8" ht="24" customHeight="1" spans="1:4" x14ac:dyDescent="0.25">
      <c r="A8" s="10" t="s">
        <v>99</v>
      </c>
      <c r="B8" s="11">
        <v>6</v>
      </c>
      <c r="C8" s="10" t="s">
        <v>100</v>
      </c>
      <c r="D8" s="10" t="s">
        <v>101</v>
      </c>
    </row>
    <row r="9" ht="24" customHeight="1" spans="1:4" x14ac:dyDescent="0.25">
      <c r="A9" s="8" t="s">
        <v>102</v>
      </c>
      <c r="B9" s="9">
        <v>5</v>
      </c>
      <c r="C9" s="8" t="s">
        <v>103</v>
      </c>
      <c r="D9" s="8" t="s">
        <v>104</v>
      </c>
    </row>
    <row r="10" ht="24" customHeight="1" spans="1:4" x14ac:dyDescent="0.25">
      <c r="A10" s="10" t="s">
        <v>105</v>
      </c>
      <c r="B10" s="11">
        <v>4</v>
      </c>
      <c r="C10" s="10" t="s">
        <v>106</v>
      </c>
      <c r="D10" s="10" t="s">
        <v>107</v>
      </c>
    </row>
    <row r="11" ht="24" customHeight="1" spans="1:4" x14ac:dyDescent="0.25">
      <c r="A11" s="8" t="s">
        <v>108</v>
      </c>
      <c r="B11" s="9">
        <v>4</v>
      </c>
      <c r="C11" s="8" t="s">
        <v>49</v>
      </c>
      <c r="D11" s="8" t="s">
        <v>109</v>
      </c>
    </row>
    <row r="12" ht="24" customHeight="1" spans="1:4" x14ac:dyDescent="0.25">
      <c r="A12" s="10" t="s">
        <v>33</v>
      </c>
      <c r="B12" s="11">
        <v>4</v>
      </c>
      <c r="C12" s="10" t="s">
        <v>17</v>
      </c>
      <c r="D12" s="10" t="s">
        <v>110</v>
      </c>
    </row>
    <row r="13" ht="24" customHeight="1" spans="1:4" x14ac:dyDescent="0.25">
      <c r="A13" s="8" t="s">
        <v>111</v>
      </c>
      <c r="B13" s="9">
        <v>3</v>
      </c>
      <c r="C13" s="8" t="s">
        <v>12</v>
      </c>
      <c r="D13" s="8" t="s">
        <v>112</v>
      </c>
    </row>
    <row r="14" ht="24" customHeight="1" spans="1:4" x14ac:dyDescent="0.25">
      <c r="A14" s="10" t="s">
        <v>113</v>
      </c>
      <c r="B14" s="11">
        <v>3</v>
      </c>
      <c r="C14" s="10" t="s">
        <v>12</v>
      </c>
      <c r="D14" s="10" t="s">
        <v>114</v>
      </c>
    </row>
    <row r="15" ht="24" customHeight="1" spans="1:4" x14ac:dyDescent="0.25">
      <c r="A15" s="8" t="s">
        <v>115</v>
      </c>
      <c r="B15" s="9">
        <v>3</v>
      </c>
      <c r="C15" s="8" t="s">
        <v>49</v>
      </c>
      <c r="D15" s="8" t="s">
        <v>116</v>
      </c>
    </row>
    <row r="16" ht="24" customHeight="1" spans="1:4" x14ac:dyDescent="0.25">
      <c r="A16" s="10" t="s">
        <v>117</v>
      </c>
      <c r="B16" s="11">
        <v>3</v>
      </c>
      <c r="C16" s="10" t="s">
        <v>49</v>
      </c>
      <c r="D16" s="10" t="s">
        <v>116</v>
      </c>
    </row>
    <row r="17" ht="24" customHeight="1" spans="1:4" x14ac:dyDescent="0.25">
      <c r="A17" s="8" t="s">
        <v>118</v>
      </c>
      <c r="B17" s="9">
        <v>3</v>
      </c>
      <c r="C17" s="8" t="s">
        <v>17</v>
      </c>
      <c r="D17" s="8" t="s">
        <v>119</v>
      </c>
    </row>
    <row r="18" ht="24" customHeight="1" spans="1:4" x14ac:dyDescent="0.25">
      <c r="A18" s="10" t="s">
        <v>120</v>
      </c>
      <c r="B18" s="11">
        <v>3</v>
      </c>
      <c r="C18" s="10" t="s">
        <v>17</v>
      </c>
      <c r="D18" s="10" t="s">
        <v>119</v>
      </c>
    </row>
    <row r="19" ht="24" customHeight="1" spans="1:4" x14ac:dyDescent="0.25">
      <c r="A19" s="8" t="s">
        <v>121</v>
      </c>
      <c r="B19" s="9">
        <v>3</v>
      </c>
      <c r="C19" s="8" t="s">
        <v>17</v>
      </c>
      <c r="D19" s="8" t="s">
        <v>119</v>
      </c>
    </row>
    <row r="20" ht="24" customHeight="1" spans="1:4" x14ac:dyDescent="0.25">
      <c r="A20" s="10" t="s">
        <v>122</v>
      </c>
      <c r="B20" s="11">
        <v>3</v>
      </c>
      <c r="C20" s="10" t="s">
        <v>17</v>
      </c>
      <c r="D20" s="10" t="s">
        <v>119</v>
      </c>
    </row>
    <row r="21" ht="24" customHeight="1" spans="1:4" x14ac:dyDescent="0.25">
      <c r="A21" s="8" t="s">
        <v>123</v>
      </c>
      <c r="B21" s="9">
        <v>2</v>
      </c>
      <c r="C21" s="8" t="s">
        <v>68</v>
      </c>
      <c r="D21" s="8" t="s">
        <v>124</v>
      </c>
    </row>
    <row r="22" ht="24" customHeight="1" spans="1:4" x14ac:dyDescent="0.25">
      <c r="A22" s="10" t="s">
        <v>125</v>
      </c>
      <c r="B22" s="11">
        <v>2</v>
      </c>
      <c r="C22" s="10" t="s">
        <v>126</v>
      </c>
      <c r="D22" s="10" t="s">
        <v>127</v>
      </c>
    </row>
    <row r="23" ht="24" customHeight="1" spans="1:4" x14ac:dyDescent="0.25">
      <c r="A23" s="8" t="s">
        <v>128</v>
      </c>
      <c r="B23" s="9">
        <v>2</v>
      </c>
      <c r="C23" s="8" t="s">
        <v>12</v>
      </c>
      <c r="D23" s="8" t="s">
        <v>129</v>
      </c>
    </row>
    <row r="24" ht="24" customHeight="1" spans="1:4" x14ac:dyDescent="0.25">
      <c r="A24" s="10" t="s">
        <v>130</v>
      </c>
      <c r="B24" s="11">
        <v>2</v>
      </c>
      <c r="C24" s="10" t="s">
        <v>7</v>
      </c>
      <c r="D24" s="10" t="s">
        <v>131</v>
      </c>
    </row>
    <row r="25" ht="24" customHeight="1" spans="1:4" x14ac:dyDescent="0.25">
      <c r="A25" s="8" t="s">
        <v>132</v>
      </c>
      <c r="B25" s="9">
        <v>2</v>
      </c>
      <c r="C25" s="8" t="s">
        <v>7</v>
      </c>
      <c r="D25" s="8" t="s">
        <v>131</v>
      </c>
    </row>
    <row r="26" ht="24" customHeight="1" spans="1:4" x14ac:dyDescent="0.25">
      <c r="A26" s="10" t="s">
        <v>133</v>
      </c>
      <c r="B26" s="11">
        <v>2</v>
      </c>
      <c r="C26" s="10" t="s">
        <v>7</v>
      </c>
      <c r="D26" s="10" t="s">
        <v>134</v>
      </c>
    </row>
    <row r="27" ht="24" customHeight="1" spans="1:4" x14ac:dyDescent="0.25">
      <c r="A27" s="8" t="s">
        <v>135</v>
      </c>
      <c r="B27" s="9">
        <v>2</v>
      </c>
      <c r="C27" s="8" t="s">
        <v>38</v>
      </c>
      <c r="D27" s="8" t="s">
        <v>136</v>
      </c>
    </row>
    <row r="28" ht="24" customHeight="1" spans="1:4" x14ac:dyDescent="0.25">
      <c r="A28" s="10" t="s">
        <v>137</v>
      </c>
      <c r="B28" s="11">
        <v>2</v>
      </c>
      <c r="C28" s="10" t="s">
        <v>17</v>
      </c>
      <c r="D28" s="10" t="s">
        <v>138</v>
      </c>
    </row>
    <row r="29" ht="24" customHeight="1" spans="1:4" x14ac:dyDescent="0.25">
      <c r="A29" s="8" t="s">
        <v>139</v>
      </c>
      <c r="B29" s="9">
        <v>1</v>
      </c>
      <c r="C29" s="8" t="s">
        <v>68</v>
      </c>
      <c r="D29" s="8" t="s">
        <v>67</v>
      </c>
    </row>
    <row r="30" ht="24" customHeight="1" spans="1:4" x14ac:dyDescent="0.25">
      <c r="A30" s="10" t="s">
        <v>63</v>
      </c>
      <c r="B30" s="11">
        <v>1</v>
      </c>
      <c r="C30" s="10" t="s">
        <v>12</v>
      </c>
      <c r="D30" s="10" t="s">
        <v>21</v>
      </c>
    </row>
    <row r="31" ht="24" customHeight="1" spans="1:4" x14ac:dyDescent="0.25">
      <c r="A31" s="8" t="s">
        <v>140</v>
      </c>
      <c r="B31" s="9">
        <v>1</v>
      </c>
      <c r="C31" s="8" t="s">
        <v>7</v>
      </c>
      <c r="D31" s="8" t="s">
        <v>75</v>
      </c>
    </row>
    <row r="32" ht="24" customHeight="1" spans="1:4" x14ac:dyDescent="0.25">
      <c r="A32" s="10" t="s">
        <v>141</v>
      </c>
      <c r="B32" s="11">
        <v>1</v>
      </c>
      <c r="C32" s="10" t="s">
        <v>7</v>
      </c>
      <c r="D32" s="10" t="s">
        <v>75</v>
      </c>
    </row>
    <row r="33" ht="24" customHeight="1" spans="1:4" x14ac:dyDescent="0.25">
      <c r="A33" s="8" t="s">
        <v>142</v>
      </c>
      <c r="B33" s="9">
        <v>1</v>
      </c>
      <c r="C33" s="8" t="s">
        <v>38</v>
      </c>
      <c r="D33" s="8" t="s">
        <v>55</v>
      </c>
    </row>
    <row r="34" ht="24" customHeight="1" spans="1:4" x14ac:dyDescent="0.25">
      <c r="A34" s="10" t="s">
        <v>143</v>
      </c>
      <c r="B34" s="11">
        <v>1</v>
      </c>
      <c r="C34" s="10" t="s">
        <v>38</v>
      </c>
      <c r="D34" s="10" t="s">
        <v>45</v>
      </c>
    </row>
    <row r="35" ht="24" customHeight="1" spans="1:4" x14ac:dyDescent="0.25">
      <c r="A35" s="8" t="s">
        <v>144</v>
      </c>
      <c r="B35" s="9">
        <v>1</v>
      </c>
      <c r="C35" s="8" t="s">
        <v>49</v>
      </c>
      <c r="D35" s="8" t="s">
        <v>58</v>
      </c>
    </row>
    <row r="36" ht="24" customHeight="1" spans="1:4" x14ac:dyDescent="0.25">
      <c r="A36" s="10" t="s">
        <v>145</v>
      </c>
      <c r="B36" s="11">
        <v>1</v>
      </c>
      <c r="C36" s="10" t="s">
        <v>49</v>
      </c>
      <c r="D36" s="10" t="s">
        <v>58</v>
      </c>
    </row>
    <row r="37" ht="24" customHeight="1" spans="1:4" x14ac:dyDescent="0.25">
      <c r="A37" s="8" t="s">
        <v>146</v>
      </c>
      <c r="B37" s="9">
        <v>1</v>
      </c>
      <c r="C37" s="8" t="s">
        <v>80</v>
      </c>
      <c r="D37" s="8" t="s">
        <v>79</v>
      </c>
    </row>
    <row r="38" ht="24" customHeight="1" spans="1:4" x14ac:dyDescent="0.25">
      <c r="A38" s="10" t="s">
        <v>147</v>
      </c>
      <c r="B38" s="11">
        <v>1</v>
      </c>
      <c r="C38" s="10" t="s">
        <v>80</v>
      </c>
      <c r="D38" s="10" t="s">
        <v>79</v>
      </c>
    </row>
    <row r="39" ht="24" customHeight="1" spans="1:4" x14ac:dyDescent="0.25">
      <c r="A39" s="8" t="s">
        <v>148</v>
      </c>
      <c r="B39" s="9">
        <v>1</v>
      </c>
      <c r="C39" s="8" t="s">
        <v>80</v>
      </c>
      <c r="D39" s="8" t="s">
        <v>79</v>
      </c>
    </row>
    <row r="40" ht="28" customHeight="1" spans="1:4" x14ac:dyDescent="0.25">
      <c r="A40" s="12" t="s">
        <v>149</v>
      </c>
      <c r="B40" s="13">
        <f>=SUM(B7:B39)</f>
      </c>
      <c r="C40" s="14"/>
      <c r="D40" s="14"/>
    </row>
    <row r="45" spans="1:4" x14ac:dyDescent="0.25">
      <c r="A45" s="6" t="s">
        <v>150</v>
      </c>
      <c r="B45" s="6"/>
      <c r="C45" s="6"/>
      <c r="D45" s="6"/>
    </row>
    <row r="46" ht="30" customHeight="1" spans="1:4" x14ac:dyDescent="0.25">
      <c r="A46" s="7" t="s">
        <v>2</v>
      </c>
      <c r="B46" s="7" t="s">
        <v>151</v>
      </c>
      <c r="C46" s="7" t="s">
        <v>93</v>
      </c>
      <c r="D46" s="7" t="s">
        <v>152</v>
      </c>
    </row>
    <row r="47" ht="24" customHeight="1" spans="1:4" x14ac:dyDescent="0.25">
      <c r="A47" s="15" t="s">
        <v>68</v>
      </c>
      <c r="B47" s="8" t="s">
        <v>139</v>
      </c>
      <c r="C47" s="9">
        <v>1</v>
      </c>
      <c r="D47" s="8" t="s">
        <v>67</v>
      </c>
    </row>
    <row r="48" ht="24" customHeight="1" spans="1:4" x14ac:dyDescent="0.25">
      <c r="A48" s="15"/>
      <c r="B48" s="8" t="s">
        <v>123</v>
      </c>
      <c r="C48" s="9">
        <v>2</v>
      </c>
      <c r="D48" s="8" t="s">
        <v>124</v>
      </c>
    </row>
    <row r="49" ht="24" customHeight="1" spans="1:4" x14ac:dyDescent="0.25">
      <c r="A49" s="15"/>
      <c r="B49" s="8" t="s">
        <v>125</v>
      </c>
      <c r="C49" s="9">
        <v>1</v>
      </c>
      <c r="D49" s="8" t="s">
        <v>72</v>
      </c>
    </row>
    <row r="50" ht="24" customHeight="1" spans="1:4" x14ac:dyDescent="0.25">
      <c r="A50" s="16" t="s">
        <v>12</v>
      </c>
      <c r="B50" s="10" t="s">
        <v>102</v>
      </c>
      <c r="C50" s="11">
        <v>1</v>
      </c>
      <c r="D50" s="10" t="s">
        <v>84</v>
      </c>
    </row>
    <row r="51" ht="24" customHeight="1" spans="1:4" x14ac:dyDescent="0.25">
      <c r="A51" s="16"/>
      <c r="B51" s="10" t="s">
        <v>111</v>
      </c>
      <c r="C51" s="11">
        <v>3</v>
      </c>
      <c r="D51" s="10" t="s">
        <v>112</v>
      </c>
    </row>
    <row r="52" ht="24" customHeight="1" spans="1:4" x14ac:dyDescent="0.25">
      <c r="A52" s="16"/>
      <c r="B52" s="10" t="s">
        <v>63</v>
      </c>
      <c r="C52" s="11">
        <v>1</v>
      </c>
      <c r="D52" s="10" t="s">
        <v>21</v>
      </c>
    </row>
    <row r="53" ht="24" customHeight="1" spans="1:4" x14ac:dyDescent="0.25">
      <c r="A53" s="16"/>
      <c r="B53" s="10" t="s">
        <v>128</v>
      </c>
      <c r="C53" s="11">
        <v>2</v>
      </c>
      <c r="D53" s="10" t="s">
        <v>129</v>
      </c>
    </row>
    <row r="54" ht="24" customHeight="1" spans="1:4" x14ac:dyDescent="0.25">
      <c r="A54" s="16"/>
      <c r="B54" s="10" t="s">
        <v>113</v>
      </c>
      <c r="C54" s="11">
        <v>3</v>
      </c>
      <c r="D54" s="10" t="s">
        <v>114</v>
      </c>
    </row>
    <row r="55" ht="24" customHeight="1" spans="1:4" x14ac:dyDescent="0.25">
      <c r="A55" s="16"/>
      <c r="B55" s="10" t="s">
        <v>96</v>
      </c>
      <c r="C55" s="11">
        <v>2</v>
      </c>
      <c r="D55" s="10" t="s">
        <v>153</v>
      </c>
    </row>
    <row r="56" ht="24" customHeight="1" spans="1:4" x14ac:dyDescent="0.25">
      <c r="A56" s="16"/>
      <c r="B56" s="10" t="s">
        <v>125</v>
      </c>
      <c r="C56" s="11">
        <v>1</v>
      </c>
      <c r="D56" s="10" t="s">
        <v>21</v>
      </c>
    </row>
    <row r="57" ht="24" customHeight="1" spans="1:4" x14ac:dyDescent="0.25">
      <c r="A57" s="15" t="s">
        <v>7</v>
      </c>
      <c r="B57" s="8" t="s">
        <v>133</v>
      </c>
      <c r="C57" s="9">
        <v>2</v>
      </c>
      <c r="D57" s="8" t="s">
        <v>134</v>
      </c>
    </row>
    <row r="58" ht="24" customHeight="1" spans="1:4" x14ac:dyDescent="0.25">
      <c r="A58" s="15"/>
      <c r="B58" s="8" t="s">
        <v>130</v>
      </c>
      <c r="C58" s="9">
        <v>2</v>
      </c>
      <c r="D58" s="8" t="s">
        <v>131</v>
      </c>
    </row>
    <row r="59" ht="24" customHeight="1" spans="1:4" x14ac:dyDescent="0.25">
      <c r="A59" s="15"/>
      <c r="B59" s="8" t="s">
        <v>141</v>
      </c>
      <c r="C59" s="9">
        <v>1</v>
      </c>
      <c r="D59" s="8" t="s">
        <v>75</v>
      </c>
    </row>
    <row r="60" ht="24" customHeight="1" spans="1:4" x14ac:dyDescent="0.25">
      <c r="A60" s="15"/>
      <c r="B60" s="8" t="s">
        <v>99</v>
      </c>
      <c r="C60" s="9">
        <v>1</v>
      </c>
      <c r="D60" s="8" t="s">
        <v>6</v>
      </c>
    </row>
    <row r="61" ht="24" customHeight="1" spans="1:4" x14ac:dyDescent="0.25">
      <c r="A61" s="15"/>
      <c r="B61" s="8" t="s">
        <v>140</v>
      </c>
      <c r="C61" s="9">
        <v>1</v>
      </c>
      <c r="D61" s="8" t="s">
        <v>75</v>
      </c>
    </row>
    <row r="62" ht="24" customHeight="1" spans="1:4" x14ac:dyDescent="0.25">
      <c r="A62" s="15"/>
      <c r="B62" s="8" t="s">
        <v>96</v>
      </c>
      <c r="C62" s="9">
        <v>3</v>
      </c>
      <c r="D62" s="8" t="s">
        <v>154</v>
      </c>
    </row>
    <row r="63" ht="24" customHeight="1" spans="1:4" x14ac:dyDescent="0.25">
      <c r="A63" s="15"/>
      <c r="B63" s="8" t="s">
        <v>105</v>
      </c>
      <c r="C63" s="9">
        <v>3</v>
      </c>
      <c r="D63" s="8" t="s">
        <v>154</v>
      </c>
    </row>
    <row r="64" ht="24" customHeight="1" spans="1:4" x14ac:dyDescent="0.25">
      <c r="A64" s="15"/>
      <c r="B64" s="8" t="s">
        <v>132</v>
      </c>
      <c r="C64" s="9">
        <v>2</v>
      </c>
      <c r="D64" s="8" t="s">
        <v>131</v>
      </c>
    </row>
    <row r="65" ht="24" customHeight="1" spans="1:4" x14ac:dyDescent="0.25">
      <c r="A65" s="16" t="s">
        <v>38</v>
      </c>
      <c r="B65" s="10" t="s">
        <v>142</v>
      </c>
      <c r="C65" s="11">
        <v>1</v>
      </c>
      <c r="D65" s="10" t="s">
        <v>55</v>
      </c>
    </row>
    <row r="66" ht="24" customHeight="1" spans="1:4" x14ac:dyDescent="0.25">
      <c r="A66" s="16"/>
      <c r="B66" s="10" t="s">
        <v>135</v>
      </c>
      <c r="C66" s="11">
        <v>2</v>
      </c>
      <c r="D66" s="10" t="s">
        <v>136</v>
      </c>
    </row>
    <row r="67" ht="24" customHeight="1" spans="1:4" x14ac:dyDescent="0.25">
      <c r="A67" s="16"/>
      <c r="B67" s="10" t="s">
        <v>143</v>
      </c>
      <c r="C67" s="11">
        <v>1</v>
      </c>
      <c r="D67" s="10" t="s">
        <v>45</v>
      </c>
    </row>
    <row r="68" ht="24" customHeight="1" spans="1:4" x14ac:dyDescent="0.25">
      <c r="A68" s="16"/>
      <c r="B68" s="10" t="s">
        <v>105</v>
      </c>
      <c r="C68" s="11">
        <v>1</v>
      </c>
      <c r="D68" s="10" t="s">
        <v>55</v>
      </c>
    </row>
    <row r="69" ht="24" customHeight="1" spans="1:4" x14ac:dyDescent="0.25">
      <c r="A69" s="15" t="s">
        <v>49</v>
      </c>
      <c r="B69" s="8" t="s">
        <v>145</v>
      </c>
      <c r="C69" s="9">
        <v>1</v>
      </c>
      <c r="D69" s="8" t="s">
        <v>58</v>
      </c>
    </row>
    <row r="70" ht="24" customHeight="1" spans="1:4" x14ac:dyDescent="0.25">
      <c r="A70" s="15"/>
      <c r="B70" s="8" t="s">
        <v>99</v>
      </c>
      <c r="C70" s="9">
        <v>2</v>
      </c>
      <c r="D70" s="8" t="s">
        <v>116</v>
      </c>
    </row>
    <row r="71" ht="24" customHeight="1" spans="1:4" x14ac:dyDescent="0.25">
      <c r="A71" s="15"/>
      <c r="B71" s="8" t="s">
        <v>144</v>
      </c>
      <c r="C71" s="9">
        <v>1</v>
      </c>
      <c r="D71" s="8" t="s">
        <v>58</v>
      </c>
    </row>
    <row r="72" ht="24" customHeight="1" spans="1:4" x14ac:dyDescent="0.25">
      <c r="A72" s="15"/>
      <c r="B72" s="8" t="s">
        <v>117</v>
      </c>
      <c r="C72" s="9">
        <v>3</v>
      </c>
      <c r="D72" s="8" t="s">
        <v>116</v>
      </c>
    </row>
    <row r="73" ht="24" customHeight="1" spans="1:4" x14ac:dyDescent="0.25">
      <c r="A73" s="15"/>
      <c r="B73" s="8" t="s">
        <v>115</v>
      </c>
      <c r="C73" s="9">
        <v>3</v>
      </c>
      <c r="D73" s="8" t="s">
        <v>116</v>
      </c>
    </row>
    <row r="74" ht="24" customHeight="1" spans="1:4" x14ac:dyDescent="0.25">
      <c r="A74" s="15"/>
      <c r="B74" s="8" t="s">
        <v>96</v>
      </c>
      <c r="C74" s="9">
        <v>1</v>
      </c>
      <c r="D74" s="8" t="s">
        <v>52</v>
      </c>
    </row>
    <row r="75" ht="24" customHeight="1" spans="1:4" x14ac:dyDescent="0.25">
      <c r="A75" s="15"/>
      <c r="B75" s="8" t="s">
        <v>108</v>
      </c>
      <c r="C75" s="9">
        <v>4</v>
      </c>
      <c r="D75" s="8" t="s">
        <v>109</v>
      </c>
    </row>
    <row r="76" ht="24" customHeight="1" spans="1:4" x14ac:dyDescent="0.25">
      <c r="A76" s="16" t="s">
        <v>80</v>
      </c>
      <c r="B76" s="10" t="s">
        <v>148</v>
      </c>
      <c r="C76" s="11">
        <v>1</v>
      </c>
      <c r="D76" s="10" t="s">
        <v>79</v>
      </c>
    </row>
    <row r="77" ht="24" customHeight="1" spans="1:4" x14ac:dyDescent="0.25">
      <c r="A77" s="16"/>
      <c r="B77" s="10" t="s">
        <v>146</v>
      </c>
      <c r="C77" s="11">
        <v>1</v>
      </c>
      <c r="D77" s="10" t="s">
        <v>79</v>
      </c>
    </row>
    <row r="78" ht="24" customHeight="1" spans="1:4" x14ac:dyDescent="0.25">
      <c r="A78" s="16"/>
      <c r="B78" s="10" t="s">
        <v>147</v>
      </c>
      <c r="C78" s="11">
        <v>1</v>
      </c>
      <c r="D78" s="10" t="s">
        <v>79</v>
      </c>
    </row>
    <row r="79" ht="24" customHeight="1" spans="1:4" x14ac:dyDescent="0.25">
      <c r="A79" s="15" t="s">
        <v>17</v>
      </c>
      <c r="B79" s="8" t="s">
        <v>118</v>
      </c>
      <c r="C79" s="9">
        <v>3</v>
      </c>
      <c r="D79" s="8" t="s">
        <v>119</v>
      </c>
    </row>
    <row r="80" ht="24" customHeight="1" spans="1:4" x14ac:dyDescent="0.25">
      <c r="A80" s="15"/>
      <c r="B80" s="8" t="s">
        <v>102</v>
      </c>
      <c r="C80" s="9">
        <v>4</v>
      </c>
      <c r="D80" s="8" t="s">
        <v>155</v>
      </c>
    </row>
    <row r="81" ht="24" customHeight="1" spans="1:4" x14ac:dyDescent="0.25">
      <c r="A81" s="15"/>
      <c r="B81" s="8" t="s">
        <v>33</v>
      </c>
      <c r="C81" s="9">
        <v>4</v>
      </c>
      <c r="D81" s="8" t="s">
        <v>110</v>
      </c>
    </row>
    <row r="82" ht="24" customHeight="1" spans="1:4" x14ac:dyDescent="0.25">
      <c r="A82" s="15"/>
      <c r="B82" s="8" t="s">
        <v>99</v>
      </c>
      <c r="C82" s="9">
        <v>3</v>
      </c>
      <c r="D82" s="8" t="s">
        <v>119</v>
      </c>
    </row>
    <row r="83" ht="24" customHeight="1" spans="1:4" x14ac:dyDescent="0.25">
      <c r="A83" s="15"/>
      <c r="B83" s="8" t="s">
        <v>137</v>
      </c>
      <c r="C83" s="9">
        <v>2</v>
      </c>
      <c r="D83" s="8" t="s">
        <v>138</v>
      </c>
    </row>
    <row r="84" ht="24" customHeight="1" spans="1:4" x14ac:dyDescent="0.25">
      <c r="A84" s="15"/>
      <c r="B84" s="8" t="s">
        <v>121</v>
      </c>
      <c r="C84" s="9">
        <v>3</v>
      </c>
      <c r="D84" s="8" t="s">
        <v>119</v>
      </c>
    </row>
    <row r="85" ht="24" customHeight="1" spans="1:4" x14ac:dyDescent="0.25">
      <c r="A85" s="15"/>
      <c r="B85" s="8" t="s">
        <v>96</v>
      </c>
      <c r="C85" s="9">
        <v>3</v>
      </c>
      <c r="D85" s="8" t="s">
        <v>156</v>
      </c>
    </row>
    <row r="86" ht="24" customHeight="1" spans="1:4" x14ac:dyDescent="0.25">
      <c r="A86" s="15"/>
      <c r="B86" s="8" t="s">
        <v>122</v>
      </c>
      <c r="C86" s="9">
        <v>3</v>
      </c>
      <c r="D86" s="8" t="s">
        <v>119</v>
      </c>
    </row>
    <row r="87" ht="24" customHeight="1" spans="1:4" x14ac:dyDescent="0.25">
      <c r="A87" s="15"/>
      <c r="B87" s="8" t="s">
        <v>120</v>
      </c>
      <c r="C87" s="9">
        <v>3</v>
      </c>
      <c r="D87" s="8" t="s">
        <v>119</v>
      </c>
    </row>
    <row r="88" ht="28" customHeight="1" spans="1:4" x14ac:dyDescent="0.25">
      <c r="A88" s="12" t="s">
        <v>157</v>
      </c>
      <c r="B88" s="14"/>
      <c r="C88" s="13">
        <f>=SUM(C47:C87)</f>
      </c>
      <c r="D88" s="14"/>
    </row>
  </sheetData>
  <mergeCells count="11">
    <mergeCell ref="A1:D1"/>
    <mergeCell ref="A2:D2"/>
    <mergeCell ref="A5:D5"/>
    <mergeCell ref="A45:D45"/>
    <mergeCell ref="A47:A49"/>
    <mergeCell ref="A50:A56"/>
    <mergeCell ref="A57:A64"/>
    <mergeCell ref="A65:A68"/>
    <mergeCell ref="A69:A75"/>
    <mergeCell ref="A76:A78"/>
    <mergeCell ref="A79:A87"/>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3"/>
  <sheetViews>
    <sheetView workbookViewId="0"/>
  </sheetViews>
  <sheetFormatPr defaultRowHeight="15" outlineLevelRow="0" outlineLevelCol="0" x14ac:dyDescent="55"/>
  <cols>
    <col min="1" max="1" width="22" customWidth="1"/>
    <col min="2" max="2" width="28" customWidth="1"/>
    <col min="3" max="41" width="6.5" customWidth="1"/>
  </cols>
  <sheetData>
    <row r="1" ht="45" customHeight="1" spans="1:41" x14ac:dyDescent="0.25">
      <c r="A1" s="4" t="s">
        <v>158</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row>
    <row r="2" ht="25" customHeight="1" spans="1:41" x14ac:dyDescent="0.25">
      <c r="A2" s="5" t="s">
        <v>159</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row>
    <row r="5" spans="1:41" x14ac:dyDescent="0.25">
      <c r="A5" s="6" t="s">
        <v>160</v>
      </c>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row>
    <row r="6" ht="140" customHeight="1" spans="1:41" x14ac:dyDescent="0.25">
      <c r="A6" s="17" t="s">
        <v>2</v>
      </c>
      <c r="B6" s="17" t="s">
        <v>1</v>
      </c>
      <c r="C6" s="18" t="s">
        <v>118</v>
      </c>
      <c r="D6" s="18" t="s">
        <v>133</v>
      </c>
      <c r="E6" s="18" t="s">
        <v>102</v>
      </c>
      <c r="F6" s="18" t="s">
        <v>161</v>
      </c>
      <c r="G6" s="18" t="s">
        <v>162</v>
      </c>
      <c r="H6" s="18" t="s">
        <v>130</v>
      </c>
      <c r="I6" s="18" t="s">
        <v>141</v>
      </c>
      <c r="J6" s="18" t="s">
        <v>139</v>
      </c>
      <c r="K6" s="18" t="s">
        <v>111</v>
      </c>
      <c r="L6" s="18" t="s">
        <v>145</v>
      </c>
      <c r="M6" s="18" t="s">
        <v>63</v>
      </c>
      <c r="N6" s="18" t="s">
        <v>142</v>
      </c>
      <c r="O6" s="18" t="s">
        <v>163</v>
      </c>
      <c r="P6" s="18" t="s">
        <v>33</v>
      </c>
      <c r="Q6" s="18" t="s">
        <v>99</v>
      </c>
      <c r="R6" s="18" t="s">
        <v>128</v>
      </c>
      <c r="S6" s="18" t="s">
        <v>135</v>
      </c>
      <c r="T6" s="18" t="s">
        <v>123</v>
      </c>
      <c r="U6" s="18" t="s">
        <v>144</v>
      </c>
      <c r="V6" s="18" t="s">
        <v>140</v>
      </c>
      <c r="W6" s="18" t="s">
        <v>148</v>
      </c>
      <c r="X6" s="18" t="s">
        <v>137</v>
      </c>
      <c r="Y6" s="18" t="s">
        <v>164</v>
      </c>
      <c r="Z6" s="18" t="s">
        <v>117</v>
      </c>
      <c r="AA6" s="18" t="s">
        <v>121</v>
      </c>
      <c r="AB6" s="18" t="s">
        <v>113</v>
      </c>
      <c r="AC6" s="18" t="s">
        <v>146</v>
      </c>
      <c r="AD6" s="18" t="s">
        <v>143</v>
      </c>
      <c r="AE6" s="18" t="s">
        <v>115</v>
      </c>
      <c r="AF6" s="18" t="s">
        <v>96</v>
      </c>
      <c r="AG6" s="18" t="s">
        <v>105</v>
      </c>
      <c r="AH6" s="18" t="s">
        <v>147</v>
      </c>
      <c r="AI6" s="18" t="s">
        <v>108</v>
      </c>
      <c r="AJ6" s="18" t="s">
        <v>122</v>
      </c>
      <c r="AK6" s="18" t="s">
        <v>165</v>
      </c>
      <c r="AL6" s="18" t="s">
        <v>125</v>
      </c>
      <c r="AM6" s="18" t="s">
        <v>166</v>
      </c>
      <c r="AN6" s="18" t="s">
        <v>120</v>
      </c>
      <c r="AO6" s="18" t="s">
        <v>132</v>
      </c>
    </row>
    <row r="7" ht="24" customHeight="1" spans="1:41" x14ac:dyDescent="0.25">
      <c r="A7" s="9" t="s">
        <v>68</v>
      </c>
      <c r="B7" s="19" t="s">
        <v>67</v>
      </c>
      <c r="C7" s="20" t="s">
        <v>167</v>
      </c>
      <c r="D7" s="20" t="s">
        <v>167</v>
      </c>
      <c r="E7" s="21" t="s">
        <v>168</v>
      </c>
      <c r="F7" s="20" t="s">
        <v>167</v>
      </c>
      <c r="G7" s="20" t="s">
        <v>167</v>
      </c>
      <c r="H7" s="20" t="s">
        <v>167</v>
      </c>
      <c r="I7" s="20" t="s">
        <v>167</v>
      </c>
      <c r="J7" s="22" t="s">
        <v>169</v>
      </c>
      <c r="K7" s="20" t="s">
        <v>167</v>
      </c>
      <c r="L7" s="20" t="s">
        <v>167</v>
      </c>
      <c r="M7" s="20" t="s">
        <v>167</v>
      </c>
      <c r="N7" s="20" t="s">
        <v>167</v>
      </c>
      <c r="O7" s="20" t="s">
        <v>167</v>
      </c>
      <c r="P7" s="20" t="s">
        <v>167</v>
      </c>
      <c r="Q7" s="20" t="s">
        <v>167</v>
      </c>
      <c r="R7" s="20" t="s">
        <v>167</v>
      </c>
      <c r="S7" s="20" t="s">
        <v>167</v>
      </c>
      <c r="T7" s="22" t="s">
        <v>169</v>
      </c>
      <c r="U7" s="20" t="s">
        <v>167</v>
      </c>
      <c r="V7" s="20" t="s">
        <v>167</v>
      </c>
      <c r="W7" s="20" t="s">
        <v>167</v>
      </c>
      <c r="X7" s="20" t="s">
        <v>167</v>
      </c>
      <c r="Y7" s="20" t="s">
        <v>167</v>
      </c>
      <c r="Z7" s="20" t="s">
        <v>167</v>
      </c>
      <c r="AA7" s="20" t="s">
        <v>167</v>
      </c>
      <c r="AB7" s="20" t="s">
        <v>167</v>
      </c>
      <c r="AC7" s="20" t="s">
        <v>167</v>
      </c>
      <c r="AD7" s="20" t="s">
        <v>167</v>
      </c>
      <c r="AE7" s="20" t="s">
        <v>167</v>
      </c>
      <c r="AF7" s="20" t="s">
        <v>167</v>
      </c>
      <c r="AG7" s="21" t="s">
        <v>168</v>
      </c>
      <c r="AH7" s="20" t="s">
        <v>167</v>
      </c>
      <c r="AI7" s="20" t="s">
        <v>167</v>
      </c>
      <c r="AJ7" s="20" t="s">
        <v>167</v>
      </c>
      <c r="AK7" s="20" t="s">
        <v>167</v>
      </c>
      <c r="AL7" s="21" t="s">
        <v>168</v>
      </c>
      <c r="AM7" s="20" t="s">
        <v>167</v>
      </c>
      <c r="AN7" s="20" t="s">
        <v>167</v>
      </c>
      <c r="AO7" s="20" t="s">
        <v>167</v>
      </c>
    </row>
    <row r="8" ht="24" customHeight="1" spans="1:41" x14ac:dyDescent="0.25">
      <c r="A8" s="9"/>
      <c r="B8" s="23" t="s">
        <v>72</v>
      </c>
      <c r="C8" s="20" t="s">
        <v>167</v>
      </c>
      <c r="D8" s="20" t="s">
        <v>167</v>
      </c>
      <c r="E8" s="21" t="s">
        <v>168</v>
      </c>
      <c r="F8" s="20" t="s">
        <v>167</v>
      </c>
      <c r="G8" s="20" t="s">
        <v>167</v>
      </c>
      <c r="H8" s="20" t="s">
        <v>167</v>
      </c>
      <c r="I8" s="20" t="s">
        <v>167</v>
      </c>
      <c r="J8" s="21" t="s">
        <v>168</v>
      </c>
      <c r="K8" s="20" t="s">
        <v>167</v>
      </c>
      <c r="L8" s="20" t="s">
        <v>167</v>
      </c>
      <c r="M8" s="20" t="s">
        <v>167</v>
      </c>
      <c r="N8" s="20" t="s">
        <v>167</v>
      </c>
      <c r="O8" s="20" t="s">
        <v>167</v>
      </c>
      <c r="P8" s="20" t="s">
        <v>167</v>
      </c>
      <c r="Q8" s="20" t="s">
        <v>167</v>
      </c>
      <c r="R8" s="20" t="s">
        <v>167</v>
      </c>
      <c r="S8" s="20" t="s">
        <v>167</v>
      </c>
      <c r="T8" s="22" t="s">
        <v>169</v>
      </c>
      <c r="U8" s="20" t="s">
        <v>167</v>
      </c>
      <c r="V8" s="20" t="s">
        <v>167</v>
      </c>
      <c r="W8" s="20" t="s">
        <v>167</v>
      </c>
      <c r="X8" s="20" t="s">
        <v>167</v>
      </c>
      <c r="Y8" s="20" t="s">
        <v>167</v>
      </c>
      <c r="Z8" s="20" t="s">
        <v>167</v>
      </c>
      <c r="AA8" s="20" t="s">
        <v>167</v>
      </c>
      <c r="AB8" s="20" t="s">
        <v>167</v>
      </c>
      <c r="AC8" s="20" t="s">
        <v>167</v>
      </c>
      <c r="AD8" s="20" t="s">
        <v>167</v>
      </c>
      <c r="AE8" s="20" t="s">
        <v>167</v>
      </c>
      <c r="AF8" s="20" t="s">
        <v>167</v>
      </c>
      <c r="AG8" s="21" t="s">
        <v>168</v>
      </c>
      <c r="AH8" s="20" t="s">
        <v>167</v>
      </c>
      <c r="AI8" s="20" t="s">
        <v>167</v>
      </c>
      <c r="AJ8" s="20" t="s">
        <v>167</v>
      </c>
      <c r="AK8" s="20" t="s">
        <v>167</v>
      </c>
      <c r="AL8" s="22" t="s">
        <v>169</v>
      </c>
      <c r="AM8" s="20" t="s">
        <v>167</v>
      </c>
      <c r="AN8" s="20" t="s">
        <v>167</v>
      </c>
      <c r="AO8" s="20" t="s">
        <v>167</v>
      </c>
    </row>
    <row r="9" ht="24" customHeight="1" spans="1:41" x14ac:dyDescent="0.25">
      <c r="A9" s="9" t="s">
        <v>12</v>
      </c>
      <c r="B9" s="19" t="s">
        <v>28</v>
      </c>
      <c r="C9" s="20" t="s">
        <v>167</v>
      </c>
      <c r="D9" s="20" t="s">
        <v>167</v>
      </c>
      <c r="E9" s="21" t="s">
        <v>168</v>
      </c>
      <c r="F9" s="20" t="s">
        <v>167</v>
      </c>
      <c r="G9" s="20" t="s">
        <v>167</v>
      </c>
      <c r="H9" s="20" t="s">
        <v>167</v>
      </c>
      <c r="I9" s="20" t="s">
        <v>167</v>
      </c>
      <c r="J9" s="20" t="s">
        <v>167</v>
      </c>
      <c r="K9" s="22" t="s">
        <v>169</v>
      </c>
      <c r="L9" s="20" t="s">
        <v>167</v>
      </c>
      <c r="M9" s="20" t="s">
        <v>167</v>
      </c>
      <c r="N9" s="20" t="s">
        <v>167</v>
      </c>
      <c r="O9" s="20" t="s">
        <v>167</v>
      </c>
      <c r="P9" s="20" t="s">
        <v>167</v>
      </c>
      <c r="Q9" s="20" t="s">
        <v>167</v>
      </c>
      <c r="R9" s="22" t="s">
        <v>169</v>
      </c>
      <c r="S9" s="20" t="s">
        <v>167</v>
      </c>
      <c r="T9" s="20" t="s">
        <v>167</v>
      </c>
      <c r="U9" s="20" t="s">
        <v>167</v>
      </c>
      <c r="V9" s="20" t="s">
        <v>167</v>
      </c>
      <c r="W9" s="20" t="s">
        <v>167</v>
      </c>
      <c r="X9" s="20" t="s">
        <v>167</v>
      </c>
      <c r="Y9" s="21" t="s">
        <v>168</v>
      </c>
      <c r="Z9" s="20" t="s">
        <v>167</v>
      </c>
      <c r="AA9" s="20" t="s">
        <v>167</v>
      </c>
      <c r="AB9" s="22" t="s">
        <v>169</v>
      </c>
      <c r="AC9" s="20" t="s">
        <v>167</v>
      </c>
      <c r="AD9" s="20" t="s">
        <v>167</v>
      </c>
      <c r="AE9" s="20" t="s">
        <v>167</v>
      </c>
      <c r="AF9" s="22" t="s">
        <v>169</v>
      </c>
      <c r="AG9" s="20" t="s">
        <v>167</v>
      </c>
      <c r="AH9" s="20" t="s">
        <v>167</v>
      </c>
      <c r="AI9" s="20" t="s">
        <v>167</v>
      </c>
      <c r="AJ9" s="20" t="s">
        <v>167</v>
      </c>
      <c r="AK9" s="20" t="s">
        <v>167</v>
      </c>
      <c r="AL9" s="21" t="s">
        <v>168</v>
      </c>
      <c r="AM9" s="20" t="s">
        <v>167</v>
      </c>
      <c r="AN9" s="20" t="s">
        <v>167</v>
      </c>
      <c r="AO9" s="20" t="s">
        <v>167</v>
      </c>
    </row>
    <row r="10" ht="24" customHeight="1" spans="1:41" x14ac:dyDescent="0.25">
      <c r="A10" s="9"/>
      <c r="B10" s="23" t="s">
        <v>11</v>
      </c>
      <c r="C10" s="20" t="s">
        <v>167</v>
      </c>
      <c r="D10" s="20" t="s">
        <v>167</v>
      </c>
      <c r="E10" s="21" t="s">
        <v>168</v>
      </c>
      <c r="F10" s="20" t="s">
        <v>167</v>
      </c>
      <c r="G10" s="20" t="s">
        <v>167</v>
      </c>
      <c r="H10" s="20" t="s">
        <v>167</v>
      </c>
      <c r="I10" s="20" t="s">
        <v>167</v>
      </c>
      <c r="J10" s="20" t="s">
        <v>167</v>
      </c>
      <c r="K10" s="22" t="s">
        <v>169</v>
      </c>
      <c r="L10" s="20" t="s">
        <v>167</v>
      </c>
      <c r="M10" s="20" t="s">
        <v>167</v>
      </c>
      <c r="N10" s="20" t="s">
        <v>167</v>
      </c>
      <c r="O10" s="20" t="s">
        <v>167</v>
      </c>
      <c r="P10" s="20" t="s">
        <v>167</v>
      </c>
      <c r="Q10" s="20" t="s">
        <v>167</v>
      </c>
      <c r="R10" s="22" t="s">
        <v>169</v>
      </c>
      <c r="S10" s="20" t="s">
        <v>167</v>
      </c>
      <c r="T10" s="20" t="s">
        <v>167</v>
      </c>
      <c r="U10" s="20" t="s">
        <v>167</v>
      </c>
      <c r="V10" s="20" t="s">
        <v>167</v>
      </c>
      <c r="W10" s="20" t="s">
        <v>167</v>
      </c>
      <c r="X10" s="20" t="s">
        <v>167</v>
      </c>
      <c r="Y10" s="21" t="s">
        <v>168</v>
      </c>
      <c r="Z10" s="20" t="s">
        <v>167</v>
      </c>
      <c r="AA10" s="20" t="s">
        <v>167</v>
      </c>
      <c r="AB10" s="22" t="s">
        <v>169</v>
      </c>
      <c r="AC10" s="20" t="s">
        <v>167</v>
      </c>
      <c r="AD10" s="20" t="s">
        <v>167</v>
      </c>
      <c r="AE10" s="20" t="s">
        <v>167</v>
      </c>
      <c r="AF10" s="21" t="s">
        <v>168</v>
      </c>
      <c r="AG10" s="21" t="s">
        <v>168</v>
      </c>
      <c r="AH10" s="20" t="s">
        <v>167</v>
      </c>
      <c r="AI10" s="20" t="s">
        <v>167</v>
      </c>
      <c r="AJ10" s="20" t="s">
        <v>167</v>
      </c>
      <c r="AK10" s="20" t="s">
        <v>167</v>
      </c>
      <c r="AL10" s="20" t="s">
        <v>167</v>
      </c>
      <c r="AM10" s="20" t="s">
        <v>167</v>
      </c>
      <c r="AN10" s="20" t="s">
        <v>167</v>
      </c>
      <c r="AO10" s="20" t="s">
        <v>167</v>
      </c>
    </row>
    <row r="11" ht="24" customHeight="1" spans="1:41" x14ac:dyDescent="0.25">
      <c r="A11" s="9"/>
      <c r="B11" s="19" t="s">
        <v>21</v>
      </c>
      <c r="C11" s="20" t="s">
        <v>167</v>
      </c>
      <c r="D11" s="20" t="s">
        <v>167</v>
      </c>
      <c r="E11" s="21" t="s">
        <v>168</v>
      </c>
      <c r="F11" s="20" t="s">
        <v>167</v>
      </c>
      <c r="G11" s="20" t="s">
        <v>167</v>
      </c>
      <c r="H11" s="20" t="s">
        <v>167</v>
      </c>
      <c r="I11" s="20" t="s">
        <v>167</v>
      </c>
      <c r="J11" s="20" t="s">
        <v>167</v>
      </c>
      <c r="K11" s="22" t="s">
        <v>169</v>
      </c>
      <c r="L11" s="20" t="s">
        <v>167</v>
      </c>
      <c r="M11" s="20" t="s">
        <v>167</v>
      </c>
      <c r="N11" s="20" t="s">
        <v>167</v>
      </c>
      <c r="O11" s="20" t="s">
        <v>167</v>
      </c>
      <c r="P11" s="20" t="s">
        <v>167</v>
      </c>
      <c r="Q11" s="20" t="s">
        <v>167</v>
      </c>
      <c r="R11" s="21" t="s">
        <v>168</v>
      </c>
      <c r="S11" s="20" t="s">
        <v>167</v>
      </c>
      <c r="T11" s="20" t="s">
        <v>167</v>
      </c>
      <c r="U11" s="20" t="s">
        <v>167</v>
      </c>
      <c r="V11" s="20" t="s">
        <v>167</v>
      </c>
      <c r="W11" s="20" t="s">
        <v>167</v>
      </c>
      <c r="X11" s="20" t="s">
        <v>167</v>
      </c>
      <c r="Y11" s="21" t="s">
        <v>168</v>
      </c>
      <c r="Z11" s="20" t="s">
        <v>167</v>
      </c>
      <c r="AA11" s="20" t="s">
        <v>167</v>
      </c>
      <c r="AB11" s="21" t="s">
        <v>168</v>
      </c>
      <c r="AC11" s="20" t="s">
        <v>167</v>
      </c>
      <c r="AD11" s="20" t="s">
        <v>167</v>
      </c>
      <c r="AE11" s="20" t="s">
        <v>167</v>
      </c>
      <c r="AF11" s="21" t="s">
        <v>168</v>
      </c>
      <c r="AG11" s="21" t="s">
        <v>168</v>
      </c>
      <c r="AH11" s="20" t="s">
        <v>167</v>
      </c>
      <c r="AI11" s="20" t="s">
        <v>167</v>
      </c>
      <c r="AJ11" s="20" t="s">
        <v>167</v>
      </c>
      <c r="AK11" s="20" t="s">
        <v>167</v>
      </c>
      <c r="AL11" s="22" t="s">
        <v>169</v>
      </c>
      <c r="AM11" s="20" t="s">
        <v>167</v>
      </c>
      <c r="AN11" s="20" t="s">
        <v>167</v>
      </c>
      <c r="AO11" s="20" t="s">
        <v>167</v>
      </c>
    </row>
    <row r="12" ht="24" customHeight="1" spans="1:41" x14ac:dyDescent="0.25">
      <c r="A12" s="9"/>
      <c r="B12" s="23" t="s">
        <v>21</v>
      </c>
      <c r="C12" s="20" t="s">
        <v>167</v>
      </c>
      <c r="D12" s="20" t="s">
        <v>167</v>
      </c>
      <c r="E12" s="21" t="s">
        <v>168</v>
      </c>
      <c r="F12" s="20" t="s">
        <v>167</v>
      </c>
      <c r="G12" s="20" t="s">
        <v>167</v>
      </c>
      <c r="H12" s="20" t="s">
        <v>167</v>
      </c>
      <c r="I12" s="20" t="s">
        <v>167</v>
      </c>
      <c r="J12" s="20" t="s">
        <v>167</v>
      </c>
      <c r="K12" s="20" t="s">
        <v>167</v>
      </c>
      <c r="L12" s="20" t="s">
        <v>167</v>
      </c>
      <c r="M12" s="22" t="s">
        <v>169</v>
      </c>
      <c r="N12" s="20" t="s">
        <v>167</v>
      </c>
      <c r="O12" s="20" t="s">
        <v>167</v>
      </c>
      <c r="P12" s="20" t="s">
        <v>167</v>
      </c>
      <c r="Q12" s="20" t="s">
        <v>167</v>
      </c>
      <c r="R12" s="21" t="s">
        <v>168</v>
      </c>
      <c r="S12" s="20" t="s">
        <v>167</v>
      </c>
      <c r="T12" s="20" t="s">
        <v>167</v>
      </c>
      <c r="U12" s="20" t="s">
        <v>167</v>
      </c>
      <c r="V12" s="20" t="s">
        <v>167</v>
      </c>
      <c r="W12" s="20" t="s">
        <v>167</v>
      </c>
      <c r="X12" s="20" t="s">
        <v>167</v>
      </c>
      <c r="Y12" s="20" t="s">
        <v>167</v>
      </c>
      <c r="Z12" s="20" t="s">
        <v>167</v>
      </c>
      <c r="AA12" s="20" t="s">
        <v>167</v>
      </c>
      <c r="AB12" s="21" t="s">
        <v>168</v>
      </c>
      <c r="AC12" s="20" t="s">
        <v>167</v>
      </c>
      <c r="AD12" s="20" t="s">
        <v>167</v>
      </c>
      <c r="AE12" s="20" t="s">
        <v>167</v>
      </c>
      <c r="AF12" s="20" t="s">
        <v>167</v>
      </c>
      <c r="AG12" s="21" t="s">
        <v>168</v>
      </c>
      <c r="AH12" s="20" t="s">
        <v>167</v>
      </c>
      <c r="AI12" s="20" t="s">
        <v>167</v>
      </c>
      <c r="AJ12" s="20" t="s">
        <v>167</v>
      </c>
      <c r="AK12" s="20" t="s">
        <v>167</v>
      </c>
      <c r="AL12" s="21" t="s">
        <v>168</v>
      </c>
      <c r="AM12" s="20" t="s">
        <v>167</v>
      </c>
      <c r="AN12" s="20" t="s">
        <v>167</v>
      </c>
      <c r="AO12" s="20" t="s">
        <v>167</v>
      </c>
    </row>
    <row r="13" ht="24" customHeight="1" spans="1:41" x14ac:dyDescent="0.25">
      <c r="A13" s="9"/>
      <c r="B13" s="19" t="s">
        <v>84</v>
      </c>
      <c r="C13" s="20" t="s">
        <v>167</v>
      </c>
      <c r="D13" s="20" t="s">
        <v>167</v>
      </c>
      <c r="E13" s="22" t="s">
        <v>169</v>
      </c>
      <c r="F13" s="20" t="s">
        <v>167</v>
      </c>
      <c r="G13" s="20" t="s">
        <v>167</v>
      </c>
      <c r="H13" s="20" t="s">
        <v>167</v>
      </c>
      <c r="I13" s="20" t="s">
        <v>167</v>
      </c>
      <c r="J13" s="20" t="s">
        <v>167</v>
      </c>
      <c r="K13" s="20" t="s">
        <v>167</v>
      </c>
      <c r="L13" s="20" t="s">
        <v>167</v>
      </c>
      <c r="M13" s="21" t="s">
        <v>168</v>
      </c>
      <c r="N13" s="20" t="s">
        <v>167</v>
      </c>
      <c r="O13" s="20" t="s">
        <v>167</v>
      </c>
      <c r="P13" s="20" t="s">
        <v>167</v>
      </c>
      <c r="Q13" s="20" t="s">
        <v>167</v>
      </c>
      <c r="R13" s="21" t="s">
        <v>168</v>
      </c>
      <c r="S13" s="20" t="s">
        <v>167</v>
      </c>
      <c r="T13" s="20" t="s">
        <v>167</v>
      </c>
      <c r="U13" s="20" t="s">
        <v>167</v>
      </c>
      <c r="V13" s="20" t="s">
        <v>167</v>
      </c>
      <c r="W13" s="20" t="s">
        <v>167</v>
      </c>
      <c r="X13" s="20" t="s">
        <v>167</v>
      </c>
      <c r="Y13" s="20" t="s">
        <v>167</v>
      </c>
      <c r="Z13" s="20" t="s">
        <v>167</v>
      </c>
      <c r="AA13" s="20" t="s">
        <v>167</v>
      </c>
      <c r="AB13" s="22" t="s">
        <v>169</v>
      </c>
      <c r="AC13" s="20" t="s">
        <v>167</v>
      </c>
      <c r="AD13" s="20" t="s">
        <v>167</v>
      </c>
      <c r="AE13" s="20" t="s">
        <v>167</v>
      </c>
      <c r="AF13" s="22" t="s">
        <v>169</v>
      </c>
      <c r="AG13" s="21" t="s">
        <v>168</v>
      </c>
      <c r="AH13" s="20" t="s">
        <v>167</v>
      </c>
      <c r="AI13" s="20" t="s">
        <v>167</v>
      </c>
      <c r="AJ13" s="20" t="s">
        <v>167</v>
      </c>
      <c r="AK13" s="20" t="s">
        <v>167</v>
      </c>
      <c r="AL13" s="21" t="s">
        <v>168</v>
      </c>
      <c r="AM13" s="20" t="s">
        <v>167</v>
      </c>
      <c r="AN13" s="20" t="s">
        <v>167</v>
      </c>
      <c r="AO13" s="20" t="s">
        <v>167</v>
      </c>
    </row>
    <row r="14" ht="24" customHeight="1" spans="1:41" x14ac:dyDescent="0.25">
      <c r="A14" s="9" t="s">
        <v>7</v>
      </c>
      <c r="B14" s="23" t="s">
        <v>41</v>
      </c>
      <c r="C14" s="20" t="s">
        <v>167</v>
      </c>
      <c r="D14" s="21" t="s">
        <v>168</v>
      </c>
      <c r="E14" s="20" t="s">
        <v>167</v>
      </c>
      <c r="F14" s="20" t="s">
        <v>167</v>
      </c>
      <c r="G14" s="20" t="s">
        <v>167</v>
      </c>
      <c r="H14" s="22" t="s">
        <v>169</v>
      </c>
      <c r="I14" s="20" t="s">
        <v>167</v>
      </c>
      <c r="J14" s="20" t="s">
        <v>167</v>
      </c>
      <c r="K14" s="20" t="s">
        <v>167</v>
      </c>
      <c r="L14" s="20" t="s">
        <v>167</v>
      </c>
      <c r="M14" s="20" t="s">
        <v>167</v>
      </c>
      <c r="N14" s="20" t="s">
        <v>167</v>
      </c>
      <c r="O14" s="20" t="s">
        <v>167</v>
      </c>
      <c r="P14" s="20" t="s">
        <v>167</v>
      </c>
      <c r="Q14" s="21" t="s">
        <v>168</v>
      </c>
      <c r="R14" s="20" t="s">
        <v>167</v>
      </c>
      <c r="S14" s="20" t="s">
        <v>167</v>
      </c>
      <c r="T14" s="20" t="s">
        <v>167</v>
      </c>
      <c r="U14" s="20" t="s">
        <v>167</v>
      </c>
      <c r="V14" s="20" t="s">
        <v>167</v>
      </c>
      <c r="W14" s="20" t="s">
        <v>167</v>
      </c>
      <c r="X14" s="20" t="s">
        <v>167</v>
      </c>
      <c r="Y14" s="20" t="s">
        <v>167</v>
      </c>
      <c r="Z14" s="20" t="s">
        <v>167</v>
      </c>
      <c r="AA14" s="20" t="s">
        <v>167</v>
      </c>
      <c r="AB14" s="20" t="s">
        <v>167</v>
      </c>
      <c r="AC14" s="20" t="s">
        <v>167</v>
      </c>
      <c r="AD14" s="20" t="s">
        <v>167</v>
      </c>
      <c r="AE14" s="20" t="s">
        <v>167</v>
      </c>
      <c r="AF14" s="22" t="s">
        <v>169</v>
      </c>
      <c r="AG14" s="22" t="s">
        <v>169</v>
      </c>
      <c r="AH14" s="20" t="s">
        <v>167</v>
      </c>
      <c r="AI14" s="20" t="s">
        <v>167</v>
      </c>
      <c r="AJ14" s="20" t="s">
        <v>167</v>
      </c>
      <c r="AK14" s="20" t="s">
        <v>167</v>
      </c>
      <c r="AL14" s="20" t="s">
        <v>167</v>
      </c>
      <c r="AM14" s="20" t="s">
        <v>167</v>
      </c>
      <c r="AN14" s="20" t="s">
        <v>167</v>
      </c>
      <c r="AO14" s="22" t="s">
        <v>169</v>
      </c>
    </row>
    <row r="15" ht="24" customHeight="1" spans="1:41" x14ac:dyDescent="0.25">
      <c r="A15" s="9"/>
      <c r="B15" s="19" t="s">
        <v>6</v>
      </c>
      <c r="C15" s="20" t="s">
        <v>167</v>
      </c>
      <c r="D15" s="22" t="s">
        <v>169</v>
      </c>
      <c r="E15" s="20" t="s">
        <v>167</v>
      </c>
      <c r="F15" s="20" t="s">
        <v>167</v>
      </c>
      <c r="G15" s="20" t="s">
        <v>167</v>
      </c>
      <c r="H15" s="22" t="s">
        <v>169</v>
      </c>
      <c r="I15" s="20" t="s">
        <v>167</v>
      </c>
      <c r="J15" s="20" t="s">
        <v>167</v>
      </c>
      <c r="K15" s="20" t="s">
        <v>167</v>
      </c>
      <c r="L15" s="20" t="s">
        <v>167</v>
      </c>
      <c r="M15" s="20" t="s">
        <v>167</v>
      </c>
      <c r="N15" s="20" t="s">
        <v>167</v>
      </c>
      <c r="O15" s="20" t="s">
        <v>167</v>
      </c>
      <c r="P15" s="20" t="s">
        <v>167</v>
      </c>
      <c r="Q15" s="22" t="s">
        <v>169</v>
      </c>
      <c r="R15" s="20" t="s">
        <v>167</v>
      </c>
      <c r="S15" s="20" t="s">
        <v>167</v>
      </c>
      <c r="T15" s="20" t="s">
        <v>167</v>
      </c>
      <c r="U15" s="20" t="s">
        <v>167</v>
      </c>
      <c r="V15" s="20" t="s">
        <v>167</v>
      </c>
      <c r="W15" s="20" t="s">
        <v>167</v>
      </c>
      <c r="X15" s="20" t="s">
        <v>167</v>
      </c>
      <c r="Y15" s="20" t="s">
        <v>167</v>
      </c>
      <c r="Z15" s="20" t="s">
        <v>167</v>
      </c>
      <c r="AA15" s="20" t="s">
        <v>167</v>
      </c>
      <c r="AB15" s="20" t="s">
        <v>167</v>
      </c>
      <c r="AC15" s="20" t="s">
        <v>167</v>
      </c>
      <c r="AD15" s="20" t="s">
        <v>167</v>
      </c>
      <c r="AE15" s="20" t="s">
        <v>167</v>
      </c>
      <c r="AF15" s="22" t="s">
        <v>169</v>
      </c>
      <c r="AG15" s="22" t="s">
        <v>169</v>
      </c>
      <c r="AH15" s="20" t="s">
        <v>167</v>
      </c>
      <c r="AI15" s="20" t="s">
        <v>167</v>
      </c>
      <c r="AJ15" s="20" t="s">
        <v>167</v>
      </c>
      <c r="AK15" s="20" t="s">
        <v>167</v>
      </c>
      <c r="AL15" s="20" t="s">
        <v>167</v>
      </c>
      <c r="AM15" s="20" t="s">
        <v>167</v>
      </c>
      <c r="AN15" s="20" t="s">
        <v>167</v>
      </c>
      <c r="AO15" s="22" t="s">
        <v>169</v>
      </c>
    </row>
    <row r="16" ht="24" customHeight="1" spans="1:41" x14ac:dyDescent="0.25">
      <c r="A16" s="9"/>
      <c r="B16" s="23" t="s">
        <v>75</v>
      </c>
      <c r="C16" s="20" t="s">
        <v>167</v>
      </c>
      <c r="D16" s="22" t="s">
        <v>169</v>
      </c>
      <c r="E16" s="20" t="s">
        <v>167</v>
      </c>
      <c r="F16" s="21" t="s">
        <v>168</v>
      </c>
      <c r="G16" s="20" t="s">
        <v>167</v>
      </c>
      <c r="H16" s="20" t="s">
        <v>167</v>
      </c>
      <c r="I16" s="22" t="s">
        <v>169</v>
      </c>
      <c r="J16" s="20" t="s">
        <v>167</v>
      </c>
      <c r="K16" s="20" t="s">
        <v>167</v>
      </c>
      <c r="L16" s="20" t="s">
        <v>167</v>
      </c>
      <c r="M16" s="20" t="s">
        <v>167</v>
      </c>
      <c r="N16" s="20" t="s">
        <v>167</v>
      </c>
      <c r="O16" s="20" t="s">
        <v>167</v>
      </c>
      <c r="P16" s="20" t="s">
        <v>167</v>
      </c>
      <c r="Q16" s="20" t="s">
        <v>167</v>
      </c>
      <c r="R16" s="20" t="s">
        <v>167</v>
      </c>
      <c r="S16" s="20" t="s">
        <v>167</v>
      </c>
      <c r="T16" s="20" t="s">
        <v>167</v>
      </c>
      <c r="U16" s="20" t="s">
        <v>167</v>
      </c>
      <c r="V16" s="22" t="s">
        <v>169</v>
      </c>
      <c r="W16" s="20" t="s">
        <v>167</v>
      </c>
      <c r="X16" s="20" t="s">
        <v>167</v>
      </c>
      <c r="Y16" s="20" t="s">
        <v>167</v>
      </c>
      <c r="Z16" s="20" t="s">
        <v>167</v>
      </c>
      <c r="AA16" s="20" t="s">
        <v>167</v>
      </c>
      <c r="AB16" s="20" t="s">
        <v>167</v>
      </c>
      <c r="AC16" s="20" t="s">
        <v>167</v>
      </c>
      <c r="AD16" s="20" t="s">
        <v>167</v>
      </c>
      <c r="AE16" s="20" t="s">
        <v>167</v>
      </c>
      <c r="AF16" s="22" t="s">
        <v>169</v>
      </c>
      <c r="AG16" s="22" t="s">
        <v>169</v>
      </c>
      <c r="AH16" s="20" t="s">
        <v>167</v>
      </c>
      <c r="AI16" s="20" t="s">
        <v>167</v>
      </c>
      <c r="AJ16" s="20" t="s">
        <v>167</v>
      </c>
      <c r="AK16" s="20" t="s">
        <v>167</v>
      </c>
      <c r="AL16" s="20" t="s">
        <v>167</v>
      </c>
      <c r="AM16" s="20" t="s">
        <v>167</v>
      </c>
      <c r="AN16" s="20" t="s">
        <v>167</v>
      </c>
      <c r="AO16" s="21" t="s">
        <v>168</v>
      </c>
    </row>
    <row r="17" ht="24" customHeight="1" spans="1:41" x14ac:dyDescent="0.25">
      <c r="A17" s="9" t="s">
        <v>38</v>
      </c>
      <c r="B17" s="19" t="s">
        <v>37</v>
      </c>
      <c r="C17" s="20" t="s">
        <v>167</v>
      </c>
      <c r="D17" s="20" t="s">
        <v>167</v>
      </c>
      <c r="E17" s="21" t="s">
        <v>168</v>
      </c>
      <c r="F17" s="20" t="s">
        <v>167</v>
      </c>
      <c r="G17" s="20" t="s">
        <v>167</v>
      </c>
      <c r="H17" s="20" t="s">
        <v>167</v>
      </c>
      <c r="I17" s="20" t="s">
        <v>167</v>
      </c>
      <c r="J17" s="20" t="s">
        <v>167</v>
      </c>
      <c r="K17" s="20" t="s">
        <v>167</v>
      </c>
      <c r="L17" s="20" t="s">
        <v>167</v>
      </c>
      <c r="M17" s="20" t="s">
        <v>167</v>
      </c>
      <c r="N17" s="21" t="s">
        <v>168</v>
      </c>
      <c r="O17" s="20" t="s">
        <v>167</v>
      </c>
      <c r="P17" s="20" t="s">
        <v>167</v>
      </c>
      <c r="Q17" s="20" t="s">
        <v>167</v>
      </c>
      <c r="R17" s="20" t="s">
        <v>167</v>
      </c>
      <c r="S17" s="21" t="s">
        <v>168</v>
      </c>
      <c r="T17" s="20" t="s">
        <v>167</v>
      </c>
      <c r="U17" s="20" t="s">
        <v>167</v>
      </c>
      <c r="V17" s="20" t="s">
        <v>167</v>
      </c>
      <c r="W17" s="20" t="s">
        <v>167</v>
      </c>
      <c r="X17" s="20" t="s">
        <v>167</v>
      </c>
      <c r="Y17" s="20" t="s">
        <v>167</v>
      </c>
      <c r="Z17" s="20" t="s">
        <v>167</v>
      </c>
      <c r="AA17" s="20" t="s">
        <v>167</v>
      </c>
      <c r="AB17" s="20" t="s">
        <v>167</v>
      </c>
      <c r="AC17" s="20" t="s">
        <v>167</v>
      </c>
      <c r="AD17" s="21" t="s">
        <v>168</v>
      </c>
      <c r="AE17" s="20" t="s">
        <v>167</v>
      </c>
      <c r="AF17" s="20" t="s">
        <v>167</v>
      </c>
      <c r="AG17" s="21" t="s">
        <v>168</v>
      </c>
      <c r="AH17" s="20" t="s">
        <v>167</v>
      </c>
      <c r="AI17" s="20" t="s">
        <v>167</v>
      </c>
      <c r="AJ17" s="20" t="s">
        <v>167</v>
      </c>
      <c r="AK17" s="20" t="s">
        <v>167</v>
      </c>
      <c r="AL17" s="21" t="s">
        <v>168</v>
      </c>
      <c r="AM17" s="20" t="s">
        <v>167</v>
      </c>
      <c r="AN17" s="20" t="s">
        <v>167</v>
      </c>
      <c r="AO17" s="20" t="s">
        <v>167</v>
      </c>
    </row>
    <row r="18" ht="24" customHeight="1" spans="1:41" x14ac:dyDescent="0.25">
      <c r="A18" s="9"/>
      <c r="B18" s="23" t="s">
        <v>55</v>
      </c>
      <c r="C18" s="20" t="s">
        <v>167</v>
      </c>
      <c r="D18" s="20" t="s">
        <v>167</v>
      </c>
      <c r="E18" s="21" t="s">
        <v>168</v>
      </c>
      <c r="F18" s="20" t="s">
        <v>167</v>
      </c>
      <c r="G18" s="20" t="s">
        <v>167</v>
      </c>
      <c r="H18" s="20" t="s">
        <v>167</v>
      </c>
      <c r="I18" s="20" t="s">
        <v>167</v>
      </c>
      <c r="J18" s="20" t="s">
        <v>167</v>
      </c>
      <c r="K18" s="20" t="s">
        <v>167</v>
      </c>
      <c r="L18" s="20" t="s">
        <v>167</v>
      </c>
      <c r="M18" s="20" t="s">
        <v>167</v>
      </c>
      <c r="N18" s="22" t="s">
        <v>169</v>
      </c>
      <c r="O18" s="20" t="s">
        <v>167</v>
      </c>
      <c r="P18" s="20" t="s">
        <v>167</v>
      </c>
      <c r="Q18" s="20" t="s">
        <v>167</v>
      </c>
      <c r="R18" s="20" t="s">
        <v>167</v>
      </c>
      <c r="S18" s="22" t="s">
        <v>169</v>
      </c>
      <c r="T18" s="20" t="s">
        <v>167</v>
      </c>
      <c r="U18" s="20" t="s">
        <v>167</v>
      </c>
      <c r="V18" s="20" t="s">
        <v>167</v>
      </c>
      <c r="W18" s="20" t="s">
        <v>167</v>
      </c>
      <c r="X18" s="20" t="s">
        <v>167</v>
      </c>
      <c r="Y18" s="20" t="s">
        <v>167</v>
      </c>
      <c r="Z18" s="20" t="s">
        <v>167</v>
      </c>
      <c r="AA18" s="20" t="s">
        <v>167</v>
      </c>
      <c r="AB18" s="20" t="s">
        <v>167</v>
      </c>
      <c r="AC18" s="20" t="s">
        <v>167</v>
      </c>
      <c r="AD18" s="21" t="s">
        <v>168</v>
      </c>
      <c r="AE18" s="20" t="s">
        <v>167</v>
      </c>
      <c r="AF18" s="20" t="s">
        <v>167</v>
      </c>
      <c r="AG18" s="22" t="s">
        <v>169</v>
      </c>
      <c r="AH18" s="20" t="s">
        <v>167</v>
      </c>
      <c r="AI18" s="20" t="s">
        <v>167</v>
      </c>
      <c r="AJ18" s="20" t="s">
        <v>167</v>
      </c>
      <c r="AK18" s="20" t="s">
        <v>167</v>
      </c>
      <c r="AL18" s="21" t="s">
        <v>168</v>
      </c>
      <c r="AM18" s="20" t="s">
        <v>167</v>
      </c>
      <c r="AN18" s="20" t="s">
        <v>167</v>
      </c>
      <c r="AO18" s="20" t="s">
        <v>167</v>
      </c>
    </row>
    <row r="19" ht="24" customHeight="1" spans="1:41" x14ac:dyDescent="0.25">
      <c r="A19" s="9"/>
      <c r="B19" s="19" t="s">
        <v>45</v>
      </c>
      <c r="C19" s="20" t="s">
        <v>167</v>
      </c>
      <c r="D19" s="20" t="s">
        <v>167</v>
      </c>
      <c r="E19" s="21" t="s">
        <v>168</v>
      </c>
      <c r="F19" s="20" t="s">
        <v>167</v>
      </c>
      <c r="G19" s="20" t="s">
        <v>167</v>
      </c>
      <c r="H19" s="20" t="s">
        <v>167</v>
      </c>
      <c r="I19" s="20" t="s">
        <v>167</v>
      </c>
      <c r="J19" s="20" t="s">
        <v>167</v>
      </c>
      <c r="K19" s="20" t="s">
        <v>167</v>
      </c>
      <c r="L19" s="20" t="s">
        <v>167</v>
      </c>
      <c r="M19" s="20" t="s">
        <v>167</v>
      </c>
      <c r="N19" s="21" t="s">
        <v>168</v>
      </c>
      <c r="O19" s="20" t="s">
        <v>167</v>
      </c>
      <c r="P19" s="20" t="s">
        <v>167</v>
      </c>
      <c r="Q19" s="20" t="s">
        <v>167</v>
      </c>
      <c r="R19" s="20" t="s">
        <v>167</v>
      </c>
      <c r="S19" s="22" t="s">
        <v>169</v>
      </c>
      <c r="T19" s="20" t="s">
        <v>167</v>
      </c>
      <c r="U19" s="20" t="s">
        <v>167</v>
      </c>
      <c r="V19" s="20" t="s">
        <v>167</v>
      </c>
      <c r="W19" s="20" t="s">
        <v>167</v>
      </c>
      <c r="X19" s="20" t="s">
        <v>167</v>
      </c>
      <c r="Y19" s="20" t="s">
        <v>167</v>
      </c>
      <c r="Z19" s="20" t="s">
        <v>167</v>
      </c>
      <c r="AA19" s="20" t="s">
        <v>167</v>
      </c>
      <c r="AB19" s="20" t="s">
        <v>167</v>
      </c>
      <c r="AC19" s="20" t="s">
        <v>167</v>
      </c>
      <c r="AD19" s="22" t="s">
        <v>169</v>
      </c>
      <c r="AE19" s="20" t="s">
        <v>167</v>
      </c>
      <c r="AF19" s="21" t="s">
        <v>168</v>
      </c>
      <c r="AG19" s="21" t="s">
        <v>168</v>
      </c>
      <c r="AH19" s="20" t="s">
        <v>167</v>
      </c>
      <c r="AI19" s="20" t="s">
        <v>167</v>
      </c>
      <c r="AJ19" s="20" t="s">
        <v>167</v>
      </c>
      <c r="AK19" s="20" t="s">
        <v>167</v>
      </c>
      <c r="AL19" s="21" t="s">
        <v>168</v>
      </c>
      <c r="AM19" s="20" t="s">
        <v>167</v>
      </c>
      <c r="AN19" s="20" t="s">
        <v>167</v>
      </c>
      <c r="AO19" s="20" t="s">
        <v>167</v>
      </c>
    </row>
    <row r="20" ht="24" customHeight="1" spans="1:41" x14ac:dyDescent="0.25">
      <c r="A20" s="9" t="s">
        <v>49</v>
      </c>
      <c r="B20" s="23" t="s">
        <v>52</v>
      </c>
      <c r="C20" s="20" t="s">
        <v>167</v>
      </c>
      <c r="D20" s="20" t="s">
        <v>167</v>
      </c>
      <c r="E20" s="21" t="s">
        <v>168</v>
      </c>
      <c r="F20" s="20" t="s">
        <v>167</v>
      </c>
      <c r="G20" s="20" t="s">
        <v>167</v>
      </c>
      <c r="H20" s="20" t="s">
        <v>167</v>
      </c>
      <c r="I20" s="20" t="s">
        <v>167</v>
      </c>
      <c r="J20" s="20" t="s">
        <v>167</v>
      </c>
      <c r="K20" s="20" t="s">
        <v>167</v>
      </c>
      <c r="L20" s="20" t="s">
        <v>167</v>
      </c>
      <c r="M20" s="20" t="s">
        <v>167</v>
      </c>
      <c r="N20" s="20" t="s">
        <v>167</v>
      </c>
      <c r="O20" s="20" t="s">
        <v>167</v>
      </c>
      <c r="P20" s="20" t="s">
        <v>167</v>
      </c>
      <c r="Q20" s="22" t="s">
        <v>169</v>
      </c>
      <c r="R20" s="20" t="s">
        <v>167</v>
      </c>
      <c r="S20" s="20" t="s">
        <v>167</v>
      </c>
      <c r="T20" s="20" t="s">
        <v>167</v>
      </c>
      <c r="U20" s="20" t="s">
        <v>167</v>
      </c>
      <c r="V20" s="20" t="s">
        <v>167</v>
      </c>
      <c r="W20" s="20" t="s">
        <v>167</v>
      </c>
      <c r="X20" s="20" t="s">
        <v>167</v>
      </c>
      <c r="Y20" s="20" t="s">
        <v>167</v>
      </c>
      <c r="Z20" s="22" t="s">
        <v>169</v>
      </c>
      <c r="AA20" s="20" t="s">
        <v>167</v>
      </c>
      <c r="AB20" s="20" t="s">
        <v>167</v>
      </c>
      <c r="AC20" s="20" t="s">
        <v>167</v>
      </c>
      <c r="AD20" s="20" t="s">
        <v>167</v>
      </c>
      <c r="AE20" s="22" t="s">
        <v>169</v>
      </c>
      <c r="AF20" s="20" t="s">
        <v>167</v>
      </c>
      <c r="AG20" s="20" t="s">
        <v>167</v>
      </c>
      <c r="AH20" s="20" t="s">
        <v>167</v>
      </c>
      <c r="AI20" s="22" t="s">
        <v>169</v>
      </c>
      <c r="AJ20" s="20" t="s">
        <v>167</v>
      </c>
      <c r="AK20" s="21" t="s">
        <v>168</v>
      </c>
      <c r="AL20" s="20" t="s">
        <v>167</v>
      </c>
      <c r="AM20" s="20" t="s">
        <v>167</v>
      </c>
      <c r="AN20" s="20" t="s">
        <v>167</v>
      </c>
      <c r="AO20" s="20" t="s">
        <v>167</v>
      </c>
    </row>
    <row r="21" ht="24" customHeight="1" spans="1:41" x14ac:dyDescent="0.25">
      <c r="A21" s="9"/>
      <c r="B21" s="19" t="s">
        <v>52</v>
      </c>
      <c r="C21" s="20" t="s">
        <v>167</v>
      </c>
      <c r="D21" s="20" t="s">
        <v>167</v>
      </c>
      <c r="E21" s="21" t="s">
        <v>168</v>
      </c>
      <c r="F21" s="20" t="s">
        <v>167</v>
      </c>
      <c r="G21" s="20" t="s">
        <v>167</v>
      </c>
      <c r="H21" s="20" t="s">
        <v>167</v>
      </c>
      <c r="I21" s="20" t="s">
        <v>167</v>
      </c>
      <c r="J21" s="20" t="s">
        <v>167</v>
      </c>
      <c r="K21" s="20" t="s">
        <v>167</v>
      </c>
      <c r="L21" s="21" t="s">
        <v>168</v>
      </c>
      <c r="M21" s="20" t="s">
        <v>167</v>
      </c>
      <c r="N21" s="20" t="s">
        <v>167</v>
      </c>
      <c r="O21" s="20" t="s">
        <v>167</v>
      </c>
      <c r="P21" s="20" t="s">
        <v>167</v>
      </c>
      <c r="Q21" s="21" t="s">
        <v>168</v>
      </c>
      <c r="R21" s="20" t="s">
        <v>167</v>
      </c>
      <c r="S21" s="20" t="s">
        <v>167</v>
      </c>
      <c r="T21" s="20" t="s">
        <v>167</v>
      </c>
      <c r="U21" s="20" t="s">
        <v>167</v>
      </c>
      <c r="V21" s="20" t="s">
        <v>167</v>
      </c>
      <c r="W21" s="20" t="s">
        <v>167</v>
      </c>
      <c r="X21" s="20" t="s">
        <v>167</v>
      </c>
      <c r="Y21" s="20" t="s">
        <v>167</v>
      </c>
      <c r="Z21" s="22" t="s">
        <v>169</v>
      </c>
      <c r="AA21" s="20" t="s">
        <v>167</v>
      </c>
      <c r="AB21" s="20" t="s">
        <v>167</v>
      </c>
      <c r="AC21" s="20" t="s">
        <v>167</v>
      </c>
      <c r="AD21" s="20" t="s">
        <v>167</v>
      </c>
      <c r="AE21" s="22" t="s">
        <v>169</v>
      </c>
      <c r="AF21" s="22" t="s">
        <v>169</v>
      </c>
      <c r="AG21" s="20" t="s">
        <v>167</v>
      </c>
      <c r="AH21" s="20" t="s">
        <v>167</v>
      </c>
      <c r="AI21" s="22" t="s">
        <v>169</v>
      </c>
      <c r="AJ21" s="20" t="s">
        <v>167</v>
      </c>
      <c r="AK21" s="21" t="s">
        <v>168</v>
      </c>
      <c r="AL21" s="20" t="s">
        <v>167</v>
      </c>
      <c r="AM21" s="20" t="s">
        <v>167</v>
      </c>
      <c r="AN21" s="20" t="s">
        <v>167</v>
      </c>
      <c r="AO21" s="20" t="s">
        <v>167</v>
      </c>
    </row>
    <row r="22" ht="24" customHeight="1" spans="1:41" x14ac:dyDescent="0.25">
      <c r="A22" s="9"/>
      <c r="B22" s="23" t="s">
        <v>48</v>
      </c>
      <c r="C22" s="20" t="s">
        <v>167</v>
      </c>
      <c r="D22" s="20" t="s">
        <v>167</v>
      </c>
      <c r="E22" s="21" t="s">
        <v>168</v>
      </c>
      <c r="F22" s="20" t="s">
        <v>167</v>
      </c>
      <c r="G22" s="20" t="s">
        <v>167</v>
      </c>
      <c r="H22" s="20" t="s">
        <v>167</v>
      </c>
      <c r="I22" s="20" t="s">
        <v>167</v>
      </c>
      <c r="J22" s="20" t="s">
        <v>167</v>
      </c>
      <c r="K22" s="20" t="s">
        <v>167</v>
      </c>
      <c r="L22" s="20" t="s">
        <v>167</v>
      </c>
      <c r="M22" s="20" t="s">
        <v>167</v>
      </c>
      <c r="N22" s="20" t="s">
        <v>167</v>
      </c>
      <c r="O22" s="20" t="s">
        <v>167</v>
      </c>
      <c r="P22" s="20" t="s">
        <v>167</v>
      </c>
      <c r="Q22" s="22" t="s">
        <v>169</v>
      </c>
      <c r="R22" s="20" t="s">
        <v>167</v>
      </c>
      <c r="S22" s="20" t="s">
        <v>167</v>
      </c>
      <c r="T22" s="20" t="s">
        <v>167</v>
      </c>
      <c r="U22" s="20" t="s">
        <v>167</v>
      </c>
      <c r="V22" s="20" t="s">
        <v>167</v>
      </c>
      <c r="W22" s="20" t="s">
        <v>167</v>
      </c>
      <c r="X22" s="20" t="s">
        <v>167</v>
      </c>
      <c r="Y22" s="20" t="s">
        <v>167</v>
      </c>
      <c r="Z22" s="22" t="s">
        <v>169</v>
      </c>
      <c r="AA22" s="20" t="s">
        <v>167</v>
      </c>
      <c r="AB22" s="20" t="s">
        <v>167</v>
      </c>
      <c r="AC22" s="20" t="s">
        <v>167</v>
      </c>
      <c r="AD22" s="20" t="s">
        <v>167</v>
      </c>
      <c r="AE22" s="22" t="s">
        <v>169</v>
      </c>
      <c r="AF22" s="20" t="s">
        <v>167</v>
      </c>
      <c r="AG22" s="20" t="s">
        <v>167</v>
      </c>
      <c r="AH22" s="20" t="s">
        <v>167</v>
      </c>
      <c r="AI22" s="22" t="s">
        <v>169</v>
      </c>
      <c r="AJ22" s="20" t="s">
        <v>167</v>
      </c>
      <c r="AK22" s="21" t="s">
        <v>168</v>
      </c>
      <c r="AL22" s="20" t="s">
        <v>167</v>
      </c>
      <c r="AM22" s="20" t="s">
        <v>167</v>
      </c>
      <c r="AN22" s="20" t="s">
        <v>167</v>
      </c>
      <c r="AO22" s="20" t="s">
        <v>167</v>
      </c>
    </row>
    <row r="23" ht="24" customHeight="1" spans="1:41" x14ac:dyDescent="0.25">
      <c r="A23" s="9"/>
      <c r="B23" s="19" t="s">
        <v>58</v>
      </c>
      <c r="C23" s="20" t="s">
        <v>167</v>
      </c>
      <c r="D23" s="20" t="s">
        <v>167</v>
      </c>
      <c r="E23" s="21" t="s">
        <v>168</v>
      </c>
      <c r="F23" s="20" t="s">
        <v>167</v>
      </c>
      <c r="G23" s="20" t="s">
        <v>167</v>
      </c>
      <c r="H23" s="20" t="s">
        <v>167</v>
      </c>
      <c r="I23" s="20" t="s">
        <v>167</v>
      </c>
      <c r="J23" s="20" t="s">
        <v>167</v>
      </c>
      <c r="K23" s="20" t="s">
        <v>167</v>
      </c>
      <c r="L23" s="22" t="s">
        <v>169</v>
      </c>
      <c r="M23" s="20" t="s">
        <v>167</v>
      </c>
      <c r="N23" s="20" t="s">
        <v>167</v>
      </c>
      <c r="O23" s="20" t="s">
        <v>167</v>
      </c>
      <c r="P23" s="20" t="s">
        <v>167</v>
      </c>
      <c r="Q23" s="20" t="s">
        <v>167</v>
      </c>
      <c r="R23" s="20" t="s">
        <v>167</v>
      </c>
      <c r="S23" s="20" t="s">
        <v>167</v>
      </c>
      <c r="T23" s="20" t="s">
        <v>167</v>
      </c>
      <c r="U23" s="22" t="s">
        <v>169</v>
      </c>
      <c r="V23" s="20" t="s">
        <v>167</v>
      </c>
      <c r="W23" s="20" t="s">
        <v>167</v>
      </c>
      <c r="X23" s="20" t="s">
        <v>167</v>
      </c>
      <c r="Y23" s="20" t="s">
        <v>167</v>
      </c>
      <c r="Z23" s="20" t="s">
        <v>167</v>
      </c>
      <c r="AA23" s="20" t="s">
        <v>167</v>
      </c>
      <c r="AB23" s="20" t="s">
        <v>167</v>
      </c>
      <c r="AC23" s="20" t="s">
        <v>167</v>
      </c>
      <c r="AD23" s="20" t="s">
        <v>167</v>
      </c>
      <c r="AE23" s="21" t="s">
        <v>168</v>
      </c>
      <c r="AF23" s="20" t="s">
        <v>167</v>
      </c>
      <c r="AG23" s="20" t="s">
        <v>167</v>
      </c>
      <c r="AH23" s="20" t="s">
        <v>167</v>
      </c>
      <c r="AI23" s="22" t="s">
        <v>169</v>
      </c>
      <c r="AJ23" s="20" t="s">
        <v>167</v>
      </c>
      <c r="AK23" s="21" t="s">
        <v>168</v>
      </c>
      <c r="AL23" s="20" t="s">
        <v>167</v>
      </c>
      <c r="AM23" s="20" t="s">
        <v>167</v>
      </c>
      <c r="AN23" s="20" t="s">
        <v>167</v>
      </c>
      <c r="AO23" s="20" t="s">
        <v>167</v>
      </c>
    </row>
    <row r="24" ht="24" customHeight="1" spans="1:41" x14ac:dyDescent="0.25">
      <c r="A24" s="9" t="s">
        <v>80</v>
      </c>
      <c r="B24" s="23" t="s">
        <v>87</v>
      </c>
      <c r="C24" s="20" t="s">
        <v>167</v>
      </c>
      <c r="D24" s="20" t="s">
        <v>167</v>
      </c>
      <c r="E24" s="21" t="s">
        <v>168</v>
      </c>
      <c r="F24" s="20" t="s">
        <v>167</v>
      </c>
      <c r="G24" s="20" t="s">
        <v>167</v>
      </c>
      <c r="H24" s="20" t="s">
        <v>167</v>
      </c>
      <c r="I24" s="20" t="s">
        <v>167</v>
      </c>
      <c r="J24" s="20" t="s">
        <v>167</v>
      </c>
      <c r="K24" s="20" t="s">
        <v>167</v>
      </c>
      <c r="L24" s="20" t="s">
        <v>167</v>
      </c>
      <c r="M24" s="20" t="s">
        <v>167</v>
      </c>
      <c r="N24" s="20" t="s">
        <v>167</v>
      </c>
      <c r="O24" s="21" t="s">
        <v>168</v>
      </c>
      <c r="P24" s="20" t="s">
        <v>167</v>
      </c>
      <c r="Q24" s="21" t="s">
        <v>168</v>
      </c>
      <c r="R24" s="20" t="s">
        <v>167</v>
      </c>
      <c r="S24" s="20" t="s">
        <v>167</v>
      </c>
      <c r="T24" s="20" t="s">
        <v>167</v>
      </c>
      <c r="U24" s="20" t="s">
        <v>167</v>
      </c>
      <c r="V24" s="20" t="s">
        <v>167</v>
      </c>
      <c r="W24" s="21" t="s">
        <v>168</v>
      </c>
      <c r="X24" s="20" t="s">
        <v>167</v>
      </c>
      <c r="Y24" s="20" t="s">
        <v>167</v>
      </c>
      <c r="Z24" s="20" t="s">
        <v>167</v>
      </c>
      <c r="AA24" s="20" t="s">
        <v>167</v>
      </c>
      <c r="AB24" s="20" t="s">
        <v>167</v>
      </c>
      <c r="AC24" s="21" t="s">
        <v>168</v>
      </c>
      <c r="AD24" s="20" t="s">
        <v>167</v>
      </c>
      <c r="AE24" s="20" t="s">
        <v>167</v>
      </c>
      <c r="AF24" s="20" t="s">
        <v>167</v>
      </c>
      <c r="AG24" s="20" t="s">
        <v>167</v>
      </c>
      <c r="AH24" s="21" t="s">
        <v>168</v>
      </c>
      <c r="AI24" s="20" t="s">
        <v>167</v>
      </c>
      <c r="AJ24" s="20" t="s">
        <v>167</v>
      </c>
      <c r="AK24" s="20" t="s">
        <v>167</v>
      </c>
      <c r="AL24" s="20" t="s">
        <v>167</v>
      </c>
      <c r="AM24" s="21" t="s">
        <v>168</v>
      </c>
      <c r="AN24" s="20" t="s">
        <v>167</v>
      </c>
      <c r="AO24" s="20" t="s">
        <v>167</v>
      </c>
    </row>
    <row r="25" ht="24" customHeight="1" spans="1:41" x14ac:dyDescent="0.25">
      <c r="A25" s="9"/>
      <c r="B25" s="19" t="s">
        <v>79</v>
      </c>
      <c r="C25" s="20" t="s">
        <v>167</v>
      </c>
      <c r="D25" s="20" t="s">
        <v>167</v>
      </c>
      <c r="E25" s="21" t="s">
        <v>168</v>
      </c>
      <c r="F25" s="20" t="s">
        <v>167</v>
      </c>
      <c r="G25" s="20" t="s">
        <v>167</v>
      </c>
      <c r="H25" s="20" t="s">
        <v>167</v>
      </c>
      <c r="I25" s="20" t="s">
        <v>167</v>
      </c>
      <c r="J25" s="20" t="s">
        <v>167</v>
      </c>
      <c r="K25" s="20" t="s">
        <v>167</v>
      </c>
      <c r="L25" s="20" t="s">
        <v>167</v>
      </c>
      <c r="M25" s="20" t="s">
        <v>167</v>
      </c>
      <c r="N25" s="20" t="s">
        <v>167</v>
      </c>
      <c r="O25" s="20" t="s">
        <v>167</v>
      </c>
      <c r="P25" s="20" t="s">
        <v>167</v>
      </c>
      <c r="Q25" s="21" t="s">
        <v>168</v>
      </c>
      <c r="R25" s="20" t="s">
        <v>167</v>
      </c>
      <c r="S25" s="20" t="s">
        <v>167</v>
      </c>
      <c r="T25" s="20" t="s">
        <v>167</v>
      </c>
      <c r="U25" s="20" t="s">
        <v>167</v>
      </c>
      <c r="V25" s="20" t="s">
        <v>167</v>
      </c>
      <c r="W25" s="22" t="s">
        <v>169</v>
      </c>
      <c r="X25" s="20" t="s">
        <v>167</v>
      </c>
      <c r="Y25" s="20" t="s">
        <v>167</v>
      </c>
      <c r="Z25" s="20" t="s">
        <v>167</v>
      </c>
      <c r="AA25" s="20" t="s">
        <v>167</v>
      </c>
      <c r="AB25" s="20" t="s">
        <v>167</v>
      </c>
      <c r="AC25" s="22" t="s">
        <v>169</v>
      </c>
      <c r="AD25" s="20" t="s">
        <v>167</v>
      </c>
      <c r="AE25" s="20" t="s">
        <v>167</v>
      </c>
      <c r="AF25" s="20" t="s">
        <v>167</v>
      </c>
      <c r="AG25" s="20" t="s">
        <v>167</v>
      </c>
      <c r="AH25" s="22" t="s">
        <v>169</v>
      </c>
      <c r="AI25" s="20" t="s">
        <v>167</v>
      </c>
      <c r="AJ25" s="20" t="s">
        <v>167</v>
      </c>
      <c r="AK25" s="20" t="s">
        <v>167</v>
      </c>
      <c r="AL25" s="20" t="s">
        <v>167</v>
      </c>
      <c r="AM25" s="21" t="s">
        <v>168</v>
      </c>
      <c r="AN25" s="20" t="s">
        <v>167</v>
      </c>
      <c r="AO25" s="20" t="s">
        <v>167</v>
      </c>
    </row>
    <row r="26" ht="24" customHeight="1" spans="1:41" x14ac:dyDescent="0.25">
      <c r="A26" s="9" t="s">
        <v>17</v>
      </c>
      <c r="B26" s="23" t="s">
        <v>34</v>
      </c>
      <c r="C26" s="21" t="s">
        <v>168</v>
      </c>
      <c r="D26" s="20" t="s">
        <v>167</v>
      </c>
      <c r="E26" s="22" t="s">
        <v>169</v>
      </c>
      <c r="F26" s="20" t="s">
        <v>167</v>
      </c>
      <c r="G26" s="20" t="s">
        <v>167</v>
      </c>
      <c r="H26" s="20" t="s">
        <v>167</v>
      </c>
      <c r="I26" s="20" t="s">
        <v>167</v>
      </c>
      <c r="J26" s="20" t="s">
        <v>167</v>
      </c>
      <c r="K26" s="20" t="s">
        <v>167</v>
      </c>
      <c r="L26" s="20" t="s">
        <v>167</v>
      </c>
      <c r="M26" s="20" t="s">
        <v>167</v>
      </c>
      <c r="N26" s="20" t="s">
        <v>167</v>
      </c>
      <c r="O26" s="20" t="s">
        <v>167</v>
      </c>
      <c r="P26" s="21" t="s">
        <v>168</v>
      </c>
      <c r="Q26" s="21" t="s">
        <v>168</v>
      </c>
      <c r="R26" s="20" t="s">
        <v>167</v>
      </c>
      <c r="S26" s="20" t="s">
        <v>167</v>
      </c>
      <c r="T26" s="20" t="s">
        <v>167</v>
      </c>
      <c r="U26" s="20" t="s">
        <v>167</v>
      </c>
      <c r="V26" s="20" t="s">
        <v>167</v>
      </c>
      <c r="W26" s="20" t="s">
        <v>167</v>
      </c>
      <c r="X26" s="20" t="s">
        <v>167</v>
      </c>
      <c r="Y26" s="20" t="s">
        <v>167</v>
      </c>
      <c r="Z26" s="20" t="s">
        <v>167</v>
      </c>
      <c r="AA26" s="21" t="s">
        <v>168</v>
      </c>
      <c r="AB26" s="20" t="s">
        <v>167</v>
      </c>
      <c r="AC26" s="20" t="s">
        <v>167</v>
      </c>
      <c r="AD26" s="20" t="s">
        <v>167</v>
      </c>
      <c r="AE26" s="20" t="s">
        <v>167</v>
      </c>
      <c r="AF26" s="22" t="s">
        <v>169</v>
      </c>
      <c r="AG26" s="20" t="s">
        <v>167</v>
      </c>
      <c r="AH26" s="20" t="s">
        <v>167</v>
      </c>
      <c r="AI26" s="20" t="s">
        <v>167</v>
      </c>
      <c r="AJ26" s="20" t="s">
        <v>167</v>
      </c>
      <c r="AK26" s="20" t="s">
        <v>167</v>
      </c>
      <c r="AL26" s="20" t="s">
        <v>167</v>
      </c>
      <c r="AM26" s="20" t="s">
        <v>167</v>
      </c>
      <c r="AN26" s="21" t="s">
        <v>168</v>
      </c>
      <c r="AO26" s="20" t="s">
        <v>167</v>
      </c>
    </row>
    <row r="27" ht="24" customHeight="1" spans="1:41" x14ac:dyDescent="0.25">
      <c r="A27" s="9"/>
      <c r="B27" s="19" t="s">
        <v>31</v>
      </c>
      <c r="C27" s="21" t="s">
        <v>168</v>
      </c>
      <c r="D27" s="20" t="s">
        <v>167</v>
      </c>
      <c r="E27" s="21" t="s">
        <v>168</v>
      </c>
      <c r="F27" s="20" t="s">
        <v>167</v>
      </c>
      <c r="G27" s="20" t="s">
        <v>167</v>
      </c>
      <c r="H27" s="20" t="s">
        <v>167</v>
      </c>
      <c r="I27" s="20" t="s">
        <v>167</v>
      </c>
      <c r="J27" s="20" t="s">
        <v>167</v>
      </c>
      <c r="K27" s="20" t="s">
        <v>167</v>
      </c>
      <c r="L27" s="20" t="s">
        <v>167</v>
      </c>
      <c r="M27" s="20" t="s">
        <v>167</v>
      </c>
      <c r="N27" s="20" t="s">
        <v>167</v>
      </c>
      <c r="O27" s="20" t="s">
        <v>167</v>
      </c>
      <c r="P27" s="22" t="s">
        <v>169</v>
      </c>
      <c r="Q27" s="21" t="s">
        <v>168</v>
      </c>
      <c r="R27" s="20" t="s">
        <v>167</v>
      </c>
      <c r="S27" s="20" t="s">
        <v>167</v>
      </c>
      <c r="T27" s="20" t="s">
        <v>167</v>
      </c>
      <c r="U27" s="20" t="s">
        <v>167</v>
      </c>
      <c r="V27" s="20" t="s">
        <v>167</v>
      </c>
      <c r="W27" s="20" t="s">
        <v>167</v>
      </c>
      <c r="X27" s="20" t="s">
        <v>167</v>
      </c>
      <c r="Y27" s="20" t="s">
        <v>167</v>
      </c>
      <c r="Z27" s="20" t="s">
        <v>167</v>
      </c>
      <c r="AA27" s="21" t="s">
        <v>168</v>
      </c>
      <c r="AB27" s="20" t="s">
        <v>167</v>
      </c>
      <c r="AC27" s="20" t="s">
        <v>167</v>
      </c>
      <c r="AD27" s="20" t="s">
        <v>167</v>
      </c>
      <c r="AE27" s="20" t="s">
        <v>167</v>
      </c>
      <c r="AF27" s="21" t="s">
        <v>168</v>
      </c>
      <c r="AG27" s="20" t="s">
        <v>167</v>
      </c>
      <c r="AH27" s="20" t="s">
        <v>167</v>
      </c>
      <c r="AI27" s="20" t="s">
        <v>167</v>
      </c>
      <c r="AJ27" s="20" t="s">
        <v>167</v>
      </c>
      <c r="AK27" s="20" t="s">
        <v>167</v>
      </c>
      <c r="AL27" s="20" t="s">
        <v>167</v>
      </c>
      <c r="AM27" s="20" t="s">
        <v>167</v>
      </c>
      <c r="AN27" s="21" t="s">
        <v>168</v>
      </c>
      <c r="AO27" s="20" t="s">
        <v>167</v>
      </c>
    </row>
    <row r="28" ht="24" customHeight="1" spans="1:41" x14ac:dyDescent="0.25">
      <c r="A28" s="9"/>
      <c r="B28" s="23" t="s">
        <v>25</v>
      </c>
      <c r="C28" s="22" t="s">
        <v>169</v>
      </c>
      <c r="D28" s="20" t="s">
        <v>167</v>
      </c>
      <c r="E28" s="22" t="s">
        <v>169</v>
      </c>
      <c r="F28" s="20" t="s">
        <v>167</v>
      </c>
      <c r="G28" s="20" t="s">
        <v>167</v>
      </c>
      <c r="H28" s="20" t="s">
        <v>167</v>
      </c>
      <c r="I28" s="20" t="s">
        <v>167</v>
      </c>
      <c r="J28" s="20" t="s">
        <v>167</v>
      </c>
      <c r="K28" s="20" t="s">
        <v>167</v>
      </c>
      <c r="L28" s="20" t="s">
        <v>167</v>
      </c>
      <c r="M28" s="20" t="s">
        <v>167</v>
      </c>
      <c r="N28" s="20" t="s">
        <v>167</v>
      </c>
      <c r="O28" s="20" t="s">
        <v>167</v>
      </c>
      <c r="P28" s="22" t="s">
        <v>169</v>
      </c>
      <c r="Q28" s="22" t="s">
        <v>169</v>
      </c>
      <c r="R28" s="20" t="s">
        <v>167</v>
      </c>
      <c r="S28" s="20" t="s">
        <v>167</v>
      </c>
      <c r="T28" s="20" t="s">
        <v>167</v>
      </c>
      <c r="U28" s="20" t="s">
        <v>167</v>
      </c>
      <c r="V28" s="20" t="s">
        <v>167</v>
      </c>
      <c r="W28" s="20" t="s">
        <v>167</v>
      </c>
      <c r="X28" s="22" t="s">
        <v>169</v>
      </c>
      <c r="Y28" s="20" t="s">
        <v>167</v>
      </c>
      <c r="Z28" s="20" t="s">
        <v>167</v>
      </c>
      <c r="AA28" s="22" t="s">
        <v>169</v>
      </c>
      <c r="AB28" s="20" t="s">
        <v>167</v>
      </c>
      <c r="AC28" s="20" t="s">
        <v>167</v>
      </c>
      <c r="AD28" s="20" t="s">
        <v>167</v>
      </c>
      <c r="AE28" s="20" t="s">
        <v>167</v>
      </c>
      <c r="AF28" s="22" t="s">
        <v>169</v>
      </c>
      <c r="AG28" s="20" t="s">
        <v>167</v>
      </c>
      <c r="AH28" s="20" t="s">
        <v>167</v>
      </c>
      <c r="AI28" s="20" t="s">
        <v>167</v>
      </c>
      <c r="AJ28" s="22" t="s">
        <v>169</v>
      </c>
      <c r="AK28" s="20" t="s">
        <v>167</v>
      </c>
      <c r="AL28" s="20" t="s">
        <v>167</v>
      </c>
      <c r="AM28" s="20" t="s">
        <v>167</v>
      </c>
      <c r="AN28" s="22" t="s">
        <v>169</v>
      </c>
      <c r="AO28" s="20" t="s">
        <v>167</v>
      </c>
    </row>
    <row r="29" ht="24" customHeight="1" spans="1:41" x14ac:dyDescent="0.25">
      <c r="A29" s="9"/>
      <c r="B29" s="19" t="s">
        <v>64</v>
      </c>
      <c r="C29" s="22" t="s">
        <v>169</v>
      </c>
      <c r="D29" s="20" t="s">
        <v>167</v>
      </c>
      <c r="E29" s="22" t="s">
        <v>169</v>
      </c>
      <c r="F29" s="20" t="s">
        <v>167</v>
      </c>
      <c r="G29" s="20" t="s">
        <v>167</v>
      </c>
      <c r="H29" s="20" t="s">
        <v>167</v>
      </c>
      <c r="I29" s="20" t="s">
        <v>167</v>
      </c>
      <c r="J29" s="20" t="s">
        <v>167</v>
      </c>
      <c r="K29" s="20" t="s">
        <v>167</v>
      </c>
      <c r="L29" s="20" t="s">
        <v>167</v>
      </c>
      <c r="M29" s="20" t="s">
        <v>167</v>
      </c>
      <c r="N29" s="20" t="s">
        <v>167</v>
      </c>
      <c r="O29" s="20" t="s">
        <v>167</v>
      </c>
      <c r="P29" s="22" t="s">
        <v>169</v>
      </c>
      <c r="Q29" s="22" t="s">
        <v>169</v>
      </c>
      <c r="R29" s="20" t="s">
        <v>167</v>
      </c>
      <c r="S29" s="20" t="s">
        <v>167</v>
      </c>
      <c r="T29" s="20" t="s">
        <v>167</v>
      </c>
      <c r="U29" s="20" t="s">
        <v>167</v>
      </c>
      <c r="V29" s="20" t="s">
        <v>167</v>
      </c>
      <c r="W29" s="20" t="s">
        <v>167</v>
      </c>
      <c r="X29" s="22" t="s">
        <v>169</v>
      </c>
      <c r="Y29" s="20" t="s">
        <v>167</v>
      </c>
      <c r="Z29" s="20" t="s">
        <v>167</v>
      </c>
      <c r="AA29" s="22" t="s">
        <v>169</v>
      </c>
      <c r="AB29" s="20" t="s">
        <v>167</v>
      </c>
      <c r="AC29" s="20" t="s">
        <v>167</v>
      </c>
      <c r="AD29" s="20" t="s">
        <v>167</v>
      </c>
      <c r="AE29" s="20" t="s">
        <v>167</v>
      </c>
      <c r="AF29" s="22" t="s">
        <v>169</v>
      </c>
      <c r="AG29" s="20" t="s">
        <v>167</v>
      </c>
      <c r="AH29" s="20" t="s">
        <v>167</v>
      </c>
      <c r="AI29" s="20" t="s">
        <v>167</v>
      </c>
      <c r="AJ29" s="22" t="s">
        <v>169</v>
      </c>
      <c r="AK29" s="20" t="s">
        <v>167</v>
      </c>
      <c r="AL29" s="20" t="s">
        <v>167</v>
      </c>
      <c r="AM29" s="20" t="s">
        <v>167</v>
      </c>
      <c r="AN29" s="22" t="s">
        <v>169</v>
      </c>
      <c r="AO29" s="20" t="s">
        <v>167</v>
      </c>
    </row>
    <row r="30" ht="24" customHeight="1" spans="1:41" x14ac:dyDescent="0.25">
      <c r="A30" s="9"/>
      <c r="B30" s="23" t="s">
        <v>16</v>
      </c>
      <c r="C30" s="22" t="s">
        <v>169</v>
      </c>
      <c r="D30" s="20" t="s">
        <v>167</v>
      </c>
      <c r="E30" s="22" t="s">
        <v>169</v>
      </c>
      <c r="F30" s="20" t="s">
        <v>167</v>
      </c>
      <c r="G30" s="20" t="s">
        <v>167</v>
      </c>
      <c r="H30" s="20" t="s">
        <v>167</v>
      </c>
      <c r="I30" s="20" t="s">
        <v>167</v>
      </c>
      <c r="J30" s="20" t="s">
        <v>167</v>
      </c>
      <c r="K30" s="20" t="s">
        <v>167</v>
      </c>
      <c r="L30" s="20" t="s">
        <v>167</v>
      </c>
      <c r="M30" s="20" t="s">
        <v>167</v>
      </c>
      <c r="N30" s="20" t="s">
        <v>167</v>
      </c>
      <c r="O30" s="20" t="s">
        <v>167</v>
      </c>
      <c r="P30" s="22" t="s">
        <v>169</v>
      </c>
      <c r="Q30" s="22" t="s">
        <v>169</v>
      </c>
      <c r="R30" s="20" t="s">
        <v>167</v>
      </c>
      <c r="S30" s="20" t="s">
        <v>167</v>
      </c>
      <c r="T30" s="20" t="s">
        <v>167</v>
      </c>
      <c r="U30" s="20" t="s">
        <v>167</v>
      </c>
      <c r="V30" s="20" t="s">
        <v>167</v>
      </c>
      <c r="W30" s="20" t="s">
        <v>167</v>
      </c>
      <c r="X30" s="21" t="s">
        <v>168</v>
      </c>
      <c r="Y30" s="20" t="s">
        <v>167</v>
      </c>
      <c r="Z30" s="20" t="s">
        <v>167</v>
      </c>
      <c r="AA30" s="22" t="s">
        <v>169</v>
      </c>
      <c r="AB30" s="20" t="s">
        <v>167</v>
      </c>
      <c r="AC30" s="20" t="s">
        <v>167</v>
      </c>
      <c r="AD30" s="20" t="s">
        <v>167</v>
      </c>
      <c r="AE30" s="20" t="s">
        <v>167</v>
      </c>
      <c r="AF30" s="20" t="s">
        <v>167</v>
      </c>
      <c r="AG30" s="20" t="s">
        <v>167</v>
      </c>
      <c r="AH30" s="20" t="s">
        <v>167</v>
      </c>
      <c r="AI30" s="20" t="s">
        <v>167</v>
      </c>
      <c r="AJ30" s="22" t="s">
        <v>169</v>
      </c>
      <c r="AK30" s="20" t="s">
        <v>167</v>
      </c>
      <c r="AL30" s="20" t="s">
        <v>167</v>
      </c>
      <c r="AM30" s="20" t="s">
        <v>167</v>
      </c>
      <c r="AN30" s="22" t="s">
        <v>169</v>
      </c>
      <c r="AO30" s="20" t="s">
        <v>167</v>
      </c>
    </row>
    <row r="31" ht="26" customHeight="1" spans="1:41" x14ac:dyDescent="0.25">
      <c r="A31" s="24" t="s">
        <v>170</v>
      </c>
      <c r="B31" s="24"/>
      <c r="C31" s="25">
        <f>=COUNTIF(C7:C30, "✓")</f>
      </c>
      <c r="D31" s="25">
        <f>=COUNTIF(D7:D30, "✓")</f>
      </c>
      <c r="E31" s="25">
        <f>=COUNTIF(E7:E30, "✓")</f>
      </c>
      <c r="F31" s="25">
        <f>=COUNTIF(F7:F30, "✓")</f>
      </c>
      <c r="G31" s="25">
        <f>=COUNTIF(G7:G30, "✓")</f>
      </c>
      <c r="H31" s="25">
        <f>=COUNTIF(H7:H30, "✓")</f>
      </c>
      <c r="I31" s="25">
        <f>=COUNTIF(I7:I30, "✓")</f>
      </c>
      <c r="J31" s="25">
        <f>=COUNTIF(J7:J30, "✓")</f>
      </c>
      <c r="K31" s="25">
        <f>=COUNTIF(K7:K30, "✓")</f>
      </c>
      <c r="L31" s="25">
        <f>=COUNTIF(L7:L30, "✓")</f>
      </c>
      <c r="M31" s="25">
        <f>=COUNTIF(M7:M30, "✓")</f>
      </c>
      <c r="N31" s="25">
        <f>=COUNTIF(N7:N30, "✓")</f>
      </c>
      <c r="O31" s="25">
        <f>=COUNTIF(O7:O30, "✓")</f>
      </c>
      <c r="P31" s="25">
        <f>=COUNTIF(P7:P30, "✓")</f>
      </c>
      <c r="Q31" s="25">
        <f>=COUNTIF(Q7:Q30, "✓")</f>
      </c>
      <c r="R31" s="25">
        <f>=COUNTIF(R7:R30, "✓")</f>
      </c>
      <c r="S31" s="25">
        <f>=COUNTIF(S7:S30, "✓")</f>
      </c>
      <c r="T31" s="25">
        <f>=COUNTIF(T7:T30, "✓")</f>
      </c>
      <c r="U31" s="25">
        <f>=COUNTIF(U7:U30, "✓")</f>
      </c>
      <c r="V31" s="25">
        <f>=COUNTIF(V7:V30, "✓")</f>
      </c>
      <c r="W31" s="25">
        <f>=COUNTIF(W7:W30, "✓")</f>
      </c>
      <c r="X31" s="25">
        <f>=COUNTIF(X7:X30, "✓")</f>
      </c>
      <c r="Y31" s="25">
        <f>=COUNTIF(Y7:Y30, "✓")</f>
      </c>
      <c r="Z31" s="25">
        <f>=COUNTIF(Z7:Z30, "✓")</f>
      </c>
      <c r="AA31" s="25">
        <f>=COUNTIF(AA7:AA30, "✓")</f>
      </c>
      <c r="AB31" s="25">
        <f>=COUNTIF(AB7:AB30, "✓")</f>
      </c>
      <c r="AC31" s="25">
        <f>=COUNTIF(AC7:AC30, "✓")</f>
      </c>
      <c r="AD31" s="25">
        <f>=COUNTIF(AD7:AD30, "✓")</f>
      </c>
      <c r="AE31" s="25">
        <f>=COUNTIF(AE7:AE30, "✓")</f>
      </c>
      <c r="AF31" s="25">
        <f>=COUNTIF(AF7:AF30, "✓")</f>
      </c>
      <c r="AG31" s="25">
        <f>=COUNTIF(AG7:AG30, "✓")</f>
      </c>
      <c r="AH31" s="25">
        <f>=COUNTIF(AH7:AH30, "✓")</f>
      </c>
      <c r="AI31" s="25">
        <f>=COUNTIF(AI7:AI30, "✓")</f>
      </c>
      <c r="AJ31" s="25">
        <f>=COUNTIF(AJ7:AJ30, "✓")</f>
      </c>
      <c r="AK31" s="25">
        <f>=COUNTIF(AK7:AK30, "✓")</f>
      </c>
      <c r="AL31" s="25">
        <f>=COUNTIF(AL7:AL30, "✓")</f>
      </c>
      <c r="AM31" s="25">
        <f>=COUNTIF(AM7:AM30, "✓")</f>
      </c>
      <c r="AN31" s="25">
        <f>=COUNTIF(AN7:AN30, "✓")</f>
      </c>
      <c r="AO31" s="25">
        <f>=COUNTIF(AO7:AO30, "✓")</f>
      </c>
    </row>
    <row r="32" ht="28" customHeight="1" spans="1:41" x14ac:dyDescent="0.25">
      <c r="A32" s="26" t="s">
        <v>171</v>
      </c>
      <c r="B32" s="26"/>
      <c r="C32" s="27">
        <f>=COUNTIF(C7:C30, "Requiere")</f>
      </c>
      <c r="D32" s="27">
        <f>=COUNTIF(D7:D30, "Requiere")</f>
      </c>
      <c r="E32" s="27">
        <f>=COUNTIF(E7:E30, "Requiere")</f>
      </c>
      <c r="F32" s="27">
        <f>=COUNTIF(F7:F30, "Requiere")</f>
      </c>
      <c r="G32" s="27">
        <f>=COUNTIF(G7:G30, "Requiere")</f>
      </c>
      <c r="H32" s="27">
        <f>=COUNTIF(H7:H30, "Requiere")</f>
      </c>
      <c r="I32" s="27">
        <f>=COUNTIF(I7:I30, "Requiere")</f>
      </c>
      <c r="J32" s="27">
        <f>=COUNTIF(J7:J30, "Requiere")</f>
      </c>
      <c r="K32" s="27">
        <f>=COUNTIF(K7:K30, "Requiere")</f>
      </c>
      <c r="L32" s="27">
        <f>=COUNTIF(L7:L30, "Requiere")</f>
      </c>
      <c r="M32" s="27">
        <f>=COUNTIF(M7:M30, "Requiere")</f>
      </c>
      <c r="N32" s="27">
        <f>=COUNTIF(N7:N30, "Requiere")</f>
      </c>
      <c r="O32" s="27">
        <f>=COUNTIF(O7:O30, "Requiere")</f>
      </c>
      <c r="P32" s="27">
        <f>=COUNTIF(P7:P30, "Requiere")</f>
      </c>
      <c r="Q32" s="27">
        <f>=COUNTIF(Q7:Q30, "Requiere")</f>
      </c>
      <c r="R32" s="27">
        <f>=COUNTIF(R7:R30, "Requiere")</f>
      </c>
      <c r="S32" s="27">
        <f>=COUNTIF(S7:S30, "Requiere")</f>
      </c>
      <c r="T32" s="27">
        <f>=COUNTIF(T7:T30, "Requiere")</f>
      </c>
      <c r="U32" s="27">
        <f>=COUNTIF(U7:U30, "Requiere")</f>
      </c>
      <c r="V32" s="27">
        <f>=COUNTIF(V7:V30, "Requiere")</f>
      </c>
      <c r="W32" s="27">
        <f>=COUNTIF(W7:W30, "Requiere")</f>
      </c>
      <c r="X32" s="27">
        <f>=COUNTIF(X7:X30, "Requiere")</f>
      </c>
      <c r="Y32" s="27">
        <f>=COUNTIF(Y7:Y30, "Requiere")</f>
      </c>
      <c r="Z32" s="27">
        <f>=COUNTIF(Z7:Z30, "Requiere")</f>
      </c>
      <c r="AA32" s="27">
        <f>=COUNTIF(AA7:AA30, "Requiere")</f>
      </c>
      <c r="AB32" s="27">
        <f>=COUNTIF(AB7:AB30, "Requiere")</f>
      </c>
      <c r="AC32" s="27">
        <f>=COUNTIF(AC7:AC30, "Requiere")</f>
      </c>
      <c r="AD32" s="27">
        <f>=COUNTIF(AD7:AD30, "Requiere")</f>
      </c>
      <c r="AE32" s="27">
        <f>=COUNTIF(AE7:AE30, "Requiere")</f>
      </c>
      <c r="AF32" s="27">
        <f>=COUNTIF(AF7:AF30, "Requiere")</f>
      </c>
      <c r="AG32" s="27">
        <f>=COUNTIF(AG7:AG30, "Requiere")</f>
      </c>
      <c r="AH32" s="27">
        <f>=COUNTIF(AH7:AH30, "Requiere")</f>
      </c>
      <c r="AI32" s="27">
        <f>=COUNTIF(AI7:AI30, "Requiere")</f>
      </c>
      <c r="AJ32" s="27">
        <f>=COUNTIF(AJ7:AJ30, "Requiere")</f>
      </c>
      <c r="AK32" s="27">
        <f>=COUNTIF(AK7:AK30, "Requiere")</f>
      </c>
      <c r="AL32" s="27">
        <f>=COUNTIF(AL7:AL30, "Requiere")</f>
      </c>
      <c r="AM32" s="27">
        <f>=COUNTIF(AM7:AM30, "Requiere")</f>
      </c>
      <c r="AN32" s="27">
        <f>=COUNTIF(AN7:AN30, "Requiere")</f>
      </c>
      <c r="AO32" s="27">
        <f>=COUNTIF(AO7:AO30, "Requiere")</f>
      </c>
    </row>
    <row r="38" spans="1:4" x14ac:dyDescent="0.25">
      <c r="A38" s="6" t="s">
        <v>172</v>
      </c>
      <c r="B38" s="6"/>
      <c r="C38" s="6"/>
      <c r="D38" s="6"/>
    </row>
    <row r="39" ht="30" customHeight="1" spans="1:4" x14ac:dyDescent="0.25">
      <c r="A39" s="17" t="s">
        <v>92</v>
      </c>
      <c r="B39" s="17" t="s">
        <v>93</v>
      </c>
      <c r="C39" s="17" t="s">
        <v>173</v>
      </c>
      <c r="D39" s="17" t="s">
        <v>152</v>
      </c>
    </row>
    <row r="40" ht="24" customHeight="1" spans="1:4" x14ac:dyDescent="0.25">
      <c r="A40" s="8" t="s">
        <v>96</v>
      </c>
      <c r="B40" s="9">
        <v>9</v>
      </c>
      <c r="C40" s="8" t="s">
        <v>97</v>
      </c>
      <c r="D40" s="8" t="s">
        <v>98</v>
      </c>
    </row>
    <row r="41" ht="24" customHeight="1" spans="1:4" x14ac:dyDescent="0.25">
      <c r="A41" s="10" t="s">
        <v>99</v>
      </c>
      <c r="B41" s="11">
        <v>6</v>
      </c>
      <c r="C41" s="10" t="s">
        <v>100</v>
      </c>
      <c r="D41" s="10" t="s">
        <v>101</v>
      </c>
    </row>
    <row r="42" ht="24" customHeight="1" spans="1:4" x14ac:dyDescent="0.25">
      <c r="A42" s="8" t="s">
        <v>102</v>
      </c>
      <c r="B42" s="9">
        <v>5</v>
      </c>
      <c r="C42" s="8" t="s">
        <v>103</v>
      </c>
      <c r="D42" s="8" t="s">
        <v>104</v>
      </c>
    </row>
    <row r="43" ht="24" customHeight="1" spans="1:4" x14ac:dyDescent="0.25">
      <c r="A43" s="10" t="s">
        <v>105</v>
      </c>
      <c r="B43" s="11">
        <v>4</v>
      </c>
      <c r="C43" s="10" t="s">
        <v>106</v>
      </c>
      <c r="D43" s="10" t="s">
        <v>107</v>
      </c>
    </row>
    <row r="44" ht="24" customHeight="1" spans="1:4" x14ac:dyDescent="0.25">
      <c r="A44" s="8" t="s">
        <v>108</v>
      </c>
      <c r="B44" s="9">
        <v>4</v>
      </c>
      <c r="C44" s="8" t="s">
        <v>49</v>
      </c>
      <c r="D44" s="8" t="s">
        <v>109</v>
      </c>
    </row>
    <row r="45" ht="24" customHeight="1" spans="1:4" x14ac:dyDescent="0.25">
      <c r="A45" s="10" t="s">
        <v>33</v>
      </c>
      <c r="B45" s="11">
        <v>4</v>
      </c>
      <c r="C45" s="10" t="s">
        <v>17</v>
      </c>
      <c r="D45" s="10" t="s">
        <v>110</v>
      </c>
    </row>
    <row r="46" ht="24" customHeight="1" spans="1:4" x14ac:dyDescent="0.25">
      <c r="A46" s="8" t="s">
        <v>111</v>
      </c>
      <c r="B46" s="9">
        <v>3</v>
      </c>
      <c r="C46" s="8" t="s">
        <v>12</v>
      </c>
      <c r="D46" s="8" t="s">
        <v>112</v>
      </c>
    </row>
    <row r="47" ht="24" customHeight="1" spans="1:4" x14ac:dyDescent="0.25">
      <c r="A47" s="10" t="s">
        <v>113</v>
      </c>
      <c r="B47" s="11">
        <v>3</v>
      </c>
      <c r="C47" s="10" t="s">
        <v>12</v>
      </c>
      <c r="D47" s="10" t="s">
        <v>114</v>
      </c>
    </row>
    <row r="48" ht="24" customHeight="1" spans="1:4" x14ac:dyDescent="0.25">
      <c r="A48" s="8" t="s">
        <v>115</v>
      </c>
      <c r="B48" s="9">
        <v>3</v>
      </c>
      <c r="C48" s="8" t="s">
        <v>49</v>
      </c>
      <c r="D48" s="8" t="s">
        <v>116</v>
      </c>
    </row>
    <row r="49" ht="24" customHeight="1" spans="1:4" x14ac:dyDescent="0.25">
      <c r="A49" s="10" t="s">
        <v>117</v>
      </c>
      <c r="B49" s="11">
        <v>3</v>
      </c>
      <c r="C49" s="10" t="s">
        <v>49</v>
      </c>
      <c r="D49" s="10" t="s">
        <v>116</v>
      </c>
    </row>
    <row r="50" ht="24" customHeight="1" spans="1:4" x14ac:dyDescent="0.25">
      <c r="A50" s="8" t="s">
        <v>118</v>
      </c>
      <c r="B50" s="9">
        <v>3</v>
      </c>
      <c r="C50" s="8" t="s">
        <v>17</v>
      </c>
      <c r="D50" s="8" t="s">
        <v>119</v>
      </c>
    </row>
    <row r="51" ht="24" customHeight="1" spans="1:4" x14ac:dyDescent="0.25">
      <c r="A51" s="10" t="s">
        <v>120</v>
      </c>
      <c r="B51" s="11">
        <v>3</v>
      </c>
      <c r="C51" s="10" t="s">
        <v>17</v>
      </c>
      <c r="D51" s="10" t="s">
        <v>119</v>
      </c>
    </row>
    <row r="52" ht="24" customHeight="1" spans="1:4" x14ac:dyDescent="0.25">
      <c r="A52" s="8" t="s">
        <v>121</v>
      </c>
      <c r="B52" s="9">
        <v>3</v>
      </c>
      <c r="C52" s="8" t="s">
        <v>17</v>
      </c>
      <c r="D52" s="8" t="s">
        <v>119</v>
      </c>
    </row>
    <row r="53" ht="24" customHeight="1" spans="1:4" x14ac:dyDescent="0.25">
      <c r="A53" s="10" t="s">
        <v>122</v>
      </c>
      <c r="B53" s="11">
        <v>3</v>
      </c>
      <c r="C53" s="10" t="s">
        <v>17</v>
      </c>
      <c r="D53" s="10" t="s">
        <v>119</v>
      </c>
    </row>
    <row r="54" ht="24" customHeight="1" spans="1:4" x14ac:dyDescent="0.25">
      <c r="A54" s="8" t="s">
        <v>123</v>
      </c>
      <c r="B54" s="9">
        <v>2</v>
      </c>
      <c r="C54" s="8" t="s">
        <v>68</v>
      </c>
      <c r="D54" s="8" t="s">
        <v>124</v>
      </c>
    </row>
    <row r="55" ht="24" customHeight="1" spans="1:4" x14ac:dyDescent="0.25">
      <c r="A55" s="10" t="s">
        <v>125</v>
      </c>
      <c r="B55" s="11">
        <v>2</v>
      </c>
      <c r="C55" s="10" t="s">
        <v>126</v>
      </c>
      <c r="D55" s="10" t="s">
        <v>127</v>
      </c>
    </row>
    <row r="56" ht="24" customHeight="1" spans="1:4" x14ac:dyDescent="0.25">
      <c r="A56" s="8" t="s">
        <v>128</v>
      </c>
      <c r="B56" s="9">
        <v>2</v>
      </c>
      <c r="C56" s="8" t="s">
        <v>12</v>
      </c>
      <c r="D56" s="8" t="s">
        <v>129</v>
      </c>
    </row>
    <row r="57" ht="24" customHeight="1" spans="1:4" x14ac:dyDescent="0.25">
      <c r="A57" s="10" t="s">
        <v>130</v>
      </c>
      <c r="B57" s="11">
        <v>2</v>
      </c>
      <c r="C57" s="10" t="s">
        <v>7</v>
      </c>
      <c r="D57" s="10" t="s">
        <v>131</v>
      </c>
    </row>
    <row r="58" ht="24" customHeight="1" spans="1:4" x14ac:dyDescent="0.25">
      <c r="A58" s="8" t="s">
        <v>132</v>
      </c>
      <c r="B58" s="9">
        <v>2</v>
      </c>
      <c r="C58" s="8" t="s">
        <v>7</v>
      </c>
      <c r="D58" s="8" t="s">
        <v>131</v>
      </c>
    </row>
    <row r="59" ht="24" customHeight="1" spans="1:4" x14ac:dyDescent="0.25">
      <c r="A59" s="10" t="s">
        <v>133</v>
      </c>
      <c r="B59" s="11">
        <v>2</v>
      </c>
      <c r="C59" s="10" t="s">
        <v>7</v>
      </c>
      <c r="D59" s="10" t="s">
        <v>134</v>
      </c>
    </row>
    <row r="60" ht="24" customHeight="1" spans="1:4" x14ac:dyDescent="0.25">
      <c r="A60" s="8" t="s">
        <v>135</v>
      </c>
      <c r="B60" s="9">
        <v>2</v>
      </c>
      <c r="C60" s="8" t="s">
        <v>38</v>
      </c>
      <c r="D60" s="8" t="s">
        <v>136</v>
      </c>
    </row>
    <row r="61" ht="24" customHeight="1" spans="1:4" x14ac:dyDescent="0.25">
      <c r="A61" s="10" t="s">
        <v>137</v>
      </c>
      <c r="B61" s="11">
        <v>2</v>
      </c>
      <c r="C61" s="10" t="s">
        <v>17</v>
      </c>
      <c r="D61" s="10" t="s">
        <v>138</v>
      </c>
    </row>
    <row r="62" ht="24" customHeight="1" spans="1:4" x14ac:dyDescent="0.25">
      <c r="A62" s="8" t="s">
        <v>139</v>
      </c>
      <c r="B62" s="9">
        <v>1</v>
      </c>
      <c r="C62" s="8" t="s">
        <v>68</v>
      </c>
      <c r="D62" s="8" t="s">
        <v>67</v>
      </c>
    </row>
    <row r="63" ht="24" customHeight="1" spans="1:4" x14ac:dyDescent="0.25">
      <c r="A63" s="10" t="s">
        <v>63</v>
      </c>
      <c r="B63" s="11">
        <v>1</v>
      </c>
      <c r="C63" s="10" t="s">
        <v>12</v>
      </c>
      <c r="D63" s="10" t="s">
        <v>21</v>
      </c>
    </row>
    <row r="64" ht="24" customHeight="1" spans="1:4" x14ac:dyDescent="0.25">
      <c r="A64" s="8" t="s">
        <v>140</v>
      </c>
      <c r="B64" s="9">
        <v>1</v>
      </c>
      <c r="C64" s="8" t="s">
        <v>7</v>
      </c>
      <c r="D64" s="8" t="s">
        <v>75</v>
      </c>
    </row>
    <row r="65" ht="24" customHeight="1" spans="1:4" x14ac:dyDescent="0.25">
      <c r="A65" s="10" t="s">
        <v>141</v>
      </c>
      <c r="B65" s="11">
        <v>1</v>
      </c>
      <c r="C65" s="10" t="s">
        <v>7</v>
      </c>
      <c r="D65" s="10" t="s">
        <v>75</v>
      </c>
    </row>
    <row r="66" ht="24" customHeight="1" spans="1:4" x14ac:dyDescent="0.25">
      <c r="A66" s="8" t="s">
        <v>142</v>
      </c>
      <c r="B66" s="9">
        <v>1</v>
      </c>
      <c r="C66" s="8" t="s">
        <v>38</v>
      </c>
      <c r="D66" s="8" t="s">
        <v>55</v>
      </c>
    </row>
    <row r="67" ht="24" customHeight="1" spans="1:4" x14ac:dyDescent="0.25">
      <c r="A67" s="10" t="s">
        <v>143</v>
      </c>
      <c r="B67" s="11">
        <v>1</v>
      </c>
      <c r="C67" s="10" t="s">
        <v>38</v>
      </c>
      <c r="D67" s="10" t="s">
        <v>45</v>
      </c>
    </row>
    <row r="68" ht="24" customHeight="1" spans="1:4" x14ac:dyDescent="0.25">
      <c r="A68" s="8" t="s">
        <v>144</v>
      </c>
      <c r="B68" s="9">
        <v>1</v>
      </c>
      <c r="C68" s="8" t="s">
        <v>49</v>
      </c>
      <c r="D68" s="8" t="s">
        <v>58</v>
      </c>
    </row>
    <row r="69" ht="24" customHeight="1" spans="1:4" x14ac:dyDescent="0.25">
      <c r="A69" s="10" t="s">
        <v>145</v>
      </c>
      <c r="B69" s="11">
        <v>1</v>
      </c>
      <c r="C69" s="10" t="s">
        <v>49</v>
      </c>
      <c r="D69" s="10" t="s">
        <v>58</v>
      </c>
    </row>
    <row r="70" ht="24" customHeight="1" spans="1:4" x14ac:dyDescent="0.25">
      <c r="A70" s="8" t="s">
        <v>146</v>
      </c>
      <c r="B70" s="9">
        <v>1</v>
      </c>
      <c r="C70" s="8" t="s">
        <v>80</v>
      </c>
      <c r="D70" s="8" t="s">
        <v>79</v>
      </c>
    </row>
    <row r="71" ht="24" customHeight="1" spans="1:4" x14ac:dyDescent="0.25">
      <c r="A71" s="10" t="s">
        <v>147</v>
      </c>
      <c r="B71" s="11">
        <v>1</v>
      </c>
      <c r="C71" s="10" t="s">
        <v>80</v>
      </c>
      <c r="D71" s="10" t="s">
        <v>79</v>
      </c>
    </row>
    <row r="72" ht="24" customHeight="1" spans="1:4" x14ac:dyDescent="0.25">
      <c r="A72" s="8" t="s">
        <v>148</v>
      </c>
      <c r="B72" s="9">
        <v>1</v>
      </c>
      <c r="C72" s="8" t="s">
        <v>80</v>
      </c>
      <c r="D72" s="8" t="s">
        <v>79</v>
      </c>
    </row>
    <row r="73" ht="28" customHeight="1" spans="1:4" x14ac:dyDescent="0.25">
      <c r="A73" s="12" t="s">
        <v>174</v>
      </c>
      <c r="B73" s="13">
        <f>=SUM(B40:B72)</f>
      </c>
      <c r="C73" s="14"/>
      <c r="D73" s="14"/>
    </row>
  </sheetData>
  <mergeCells count="13">
    <mergeCell ref="A1:AO1"/>
    <mergeCell ref="A2:AO2"/>
    <mergeCell ref="A5:AO5"/>
    <mergeCell ref="A7:A8"/>
    <mergeCell ref="A9:A13"/>
    <mergeCell ref="A14:A16"/>
    <mergeCell ref="A17:A19"/>
    <mergeCell ref="A20:A23"/>
    <mergeCell ref="A24:A25"/>
    <mergeCell ref="A26:A30"/>
    <mergeCell ref="A31:B31"/>
    <mergeCell ref="A32:B32"/>
    <mergeCell ref="A38:D3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Hoja 1</vt:lpstr>
      <vt:lpstr>Registro_EPPs</vt:lpstr>
      <vt:lpstr>Consolidado_Compras</vt:lpstr>
      <vt:lpstr>Matriz_Estado_EPPs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2026-06-05T19:03:59Z</dcterms:created>
  <dcterms:modified xsi:type="dcterms:W3CDTF">2026-06-05T19:03:59Z</dcterms:modified>
</cp:coreProperties>
</file>